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vin20k\LabEx\K4-Track4-Day1-Neuralnetwork\submission_2A202603012\"/>
    </mc:Choice>
  </mc:AlternateContent>
  <xr:revisionPtr revIDLastSave="0" documentId="13_ncr:1_{600F5B85-DF76-4C23-8F03-E2730CBC3A73}" xr6:coauthVersionLast="47" xr6:coauthVersionMax="47" xr10:uidLastSave="{00000000-0000-0000-0000-000000000000}"/>
  <bookViews>
    <workbookView minimized="1" xWindow="732" yWindow="732" windowWidth="17280" windowHeight="8880" tabRatio="500" activeTab="1" xr2:uid="{00000000-000D-0000-FFFF-FFFF00000000}"/>
  </bookViews>
  <sheets>
    <sheet name="Legend" sheetId="1" r:id="rId1"/>
    <sheet name="Experiments" sheetId="2" r:id="rId2"/>
    <sheet name="Seeds" sheetId="3" r:id="rId3"/>
    <sheet name="Summary" sheetId="4" r:id="rId4"/>
  </sheets>
  <definedNames>
    <definedName name="_xlnm._FilterDatabase" localSheetId="1" hidden="1">Experiments!$A$1:$AG$61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4" l="1"/>
  <c r="F11" i="4" s="1"/>
  <c r="B11" i="4"/>
  <c r="C10" i="4"/>
  <c r="F10" i="4" s="1"/>
  <c r="B10" i="4"/>
  <c r="C9" i="4"/>
  <c r="G9" i="4" s="1"/>
  <c r="B9" i="4"/>
  <c r="C8" i="4"/>
  <c r="G8" i="4" s="1"/>
  <c r="B8" i="4"/>
  <c r="C7" i="4"/>
  <c r="G7" i="4" s="1"/>
  <c r="B7" i="4"/>
  <c r="C6" i="4"/>
  <c r="G6" i="4" s="1"/>
  <c r="B6" i="4"/>
  <c r="C5" i="4"/>
  <c r="G5" i="4" s="1"/>
  <c r="B5" i="4"/>
  <c r="C4" i="4"/>
  <c r="G4" i="4" s="1"/>
  <c r="B4" i="4"/>
  <c r="C3" i="4"/>
  <c r="E3" i="4" s="1"/>
  <c r="B3" i="4"/>
  <c r="C2" i="4"/>
  <c r="E2" i="4" s="1"/>
  <c r="B2" i="4"/>
  <c r="D6" i="3"/>
  <c r="C6" i="3"/>
  <c r="B6" i="3"/>
  <c r="D5" i="3"/>
  <c r="C5" i="3"/>
  <c r="B5" i="3"/>
  <c r="D4" i="3"/>
  <c r="C4" i="3"/>
  <c r="B4" i="3"/>
  <c r="D3" i="3"/>
  <c r="C3" i="3"/>
  <c r="B3" i="3"/>
  <c r="D2" i="3"/>
  <c r="C2" i="3"/>
  <c r="B2" i="3"/>
  <c r="AE61" i="2"/>
  <c r="AD61" i="2"/>
  <c r="AE60" i="2"/>
  <c r="AD60" i="2"/>
  <c r="AE59" i="2"/>
  <c r="AD59" i="2"/>
  <c r="AE58" i="2"/>
  <c r="AD58" i="2"/>
  <c r="AE57" i="2"/>
  <c r="AD57" i="2"/>
  <c r="AE56" i="2"/>
  <c r="AD56" i="2"/>
  <c r="AE55" i="2"/>
  <c r="AD55" i="2"/>
  <c r="AE54" i="2"/>
  <c r="AD54" i="2"/>
  <c r="AE53" i="2"/>
  <c r="AD53" i="2"/>
  <c r="AE52" i="2"/>
  <c r="AD52" i="2"/>
  <c r="AE51" i="2"/>
  <c r="AD51" i="2"/>
  <c r="AE50" i="2"/>
  <c r="AD50" i="2"/>
  <c r="AE49" i="2"/>
  <c r="AD49" i="2"/>
  <c r="AE48" i="2"/>
  <c r="AD48" i="2"/>
  <c r="AE47" i="2"/>
  <c r="AD47" i="2"/>
  <c r="AE46" i="2"/>
  <c r="AD46" i="2"/>
  <c r="AE45" i="2"/>
  <c r="AD45" i="2"/>
  <c r="AE44" i="2"/>
  <c r="AD44" i="2"/>
  <c r="AE43" i="2"/>
  <c r="AD43" i="2"/>
  <c r="AE42" i="2"/>
  <c r="AD42" i="2"/>
  <c r="AE41" i="2"/>
  <c r="AD41" i="2"/>
  <c r="AE40" i="2"/>
  <c r="AD40" i="2"/>
  <c r="AE39" i="2"/>
  <c r="AD39" i="2"/>
  <c r="AE38" i="2"/>
  <c r="AD38" i="2"/>
  <c r="AE37" i="2"/>
  <c r="AD37" i="2"/>
  <c r="AE36" i="2"/>
  <c r="AD36" i="2"/>
  <c r="AE35" i="2"/>
  <c r="AD35" i="2"/>
  <c r="AE34" i="2"/>
  <c r="AD34" i="2"/>
  <c r="AE33" i="2"/>
  <c r="AD33" i="2"/>
  <c r="AE32" i="2"/>
  <c r="AD32" i="2"/>
  <c r="AE31" i="2"/>
  <c r="AD31" i="2"/>
  <c r="AE30" i="2"/>
  <c r="AD30" i="2"/>
  <c r="AE29" i="2"/>
  <c r="AD29" i="2"/>
  <c r="AE28" i="2"/>
  <c r="AD28" i="2"/>
  <c r="AE27" i="2"/>
  <c r="AD27" i="2"/>
  <c r="AE26" i="2"/>
  <c r="AD26" i="2"/>
  <c r="AE25" i="2"/>
  <c r="AD25" i="2"/>
  <c r="AE24" i="2"/>
  <c r="AD24" i="2"/>
  <c r="AE23" i="2"/>
  <c r="AD23" i="2"/>
  <c r="AE22" i="2"/>
  <c r="AD22" i="2"/>
  <c r="AE21" i="2"/>
  <c r="AD21" i="2"/>
  <c r="AE20" i="2"/>
  <c r="AD20" i="2"/>
  <c r="AE19" i="2"/>
  <c r="AD19" i="2"/>
  <c r="AE18" i="2"/>
  <c r="AD18" i="2"/>
  <c r="AE17" i="2"/>
  <c r="AD17" i="2"/>
  <c r="AE16" i="2"/>
  <c r="AD16" i="2"/>
  <c r="AE15" i="2"/>
  <c r="AD15" i="2"/>
  <c r="AE14" i="2"/>
  <c r="AD14" i="2"/>
  <c r="AE13" i="2"/>
  <c r="AD13" i="2"/>
  <c r="AE12" i="2"/>
  <c r="AD12" i="2"/>
  <c r="AE11" i="2"/>
  <c r="AD11" i="2"/>
  <c r="AE10" i="2"/>
  <c r="AD10" i="2"/>
  <c r="AE9" i="2"/>
  <c r="AD9" i="2"/>
  <c r="AE8" i="2"/>
  <c r="AD8" i="2"/>
  <c r="AE7" i="2"/>
  <c r="AD7" i="2"/>
  <c r="AE6" i="2"/>
  <c r="AD6" i="2"/>
  <c r="AE5" i="2"/>
  <c r="AD5" i="2"/>
  <c r="AE4" i="2"/>
  <c r="AD4" i="2"/>
  <c r="AE3" i="2"/>
  <c r="AD3" i="2"/>
  <c r="AE2" i="2"/>
  <c r="AD2" i="2"/>
  <c r="E5" i="4" l="1"/>
  <c r="F5" i="4"/>
  <c r="C8" i="3"/>
  <c r="AF45" i="2" s="1"/>
  <c r="F2" i="4"/>
  <c r="D6" i="4"/>
  <c r="B8" i="3"/>
  <c r="D8" i="3"/>
  <c r="E6" i="4"/>
  <c r="D3" i="4"/>
  <c r="F3" i="4"/>
  <c r="G3" i="4"/>
  <c r="D13" i="4" s="1"/>
  <c r="D4" i="4"/>
  <c r="E4" i="4"/>
  <c r="AF53" i="2"/>
  <c r="AF49" i="2"/>
  <c r="AF21" i="2"/>
  <c r="B9" i="3"/>
  <c r="B10" i="3" s="1"/>
  <c r="C9" i="3"/>
  <c r="C10" i="3" s="1"/>
  <c r="F6" i="4"/>
  <c r="D9" i="4"/>
  <c r="D9" i="3"/>
  <c r="D10" i="3" s="1"/>
  <c r="E9" i="4"/>
  <c r="F9" i="4"/>
  <c r="F4" i="4"/>
  <c r="D7" i="4"/>
  <c r="E7" i="4"/>
  <c r="F7" i="4"/>
  <c r="D10" i="4"/>
  <c r="D2" i="4"/>
  <c r="E10" i="4"/>
  <c r="D5" i="4"/>
  <c r="D8" i="4"/>
  <c r="E8" i="4"/>
  <c r="D11" i="4"/>
  <c r="F8" i="4"/>
  <c r="E11" i="4"/>
  <c r="AF17" i="2" l="1"/>
  <c r="AF60" i="2"/>
  <c r="AF36" i="2"/>
  <c r="AG36" i="2" s="1"/>
  <c r="AF2" i="2"/>
  <c r="AF50" i="2"/>
  <c r="AF44" i="2"/>
  <c r="AF54" i="2"/>
  <c r="AG54" i="2" s="1"/>
  <c r="AF57" i="2"/>
  <c r="AF6" i="2"/>
  <c r="AG6" i="2" s="1"/>
  <c r="AF40" i="2"/>
  <c r="AG40" i="2" s="1"/>
  <c r="AF30" i="2"/>
  <c r="AG30" i="2" s="1"/>
  <c r="AF61" i="2"/>
  <c r="AG61" i="2" s="1"/>
  <c r="AF11" i="2"/>
  <c r="AF48" i="2"/>
  <c r="AF15" i="2"/>
  <c r="AF19" i="2"/>
  <c r="AG19" i="2" s="1"/>
  <c r="AF52" i="2"/>
  <c r="AG52" i="2" s="1"/>
  <c r="AF55" i="2"/>
  <c r="AG55" i="2" s="1"/>
  <c r="AF23" i="2"/>
  <c r="AG23" i="2" s="1"/>
  <c r="AF56" i="2"/>
  <c r="AF5" i="2"/>
  <c r="AF31" i="2"/>
  <c r="AG31" i="2" s="1"/>
  <c r="AF26" i="2"/>
  <c r="AG26" i="2" s="1"/>
  <c r="AF9" i="2"/>
  <c r="AF43" i="2"/>
  <c r="AF38" i="2"/>
  <c r="AF13" i="2"/>
  <c r="AG13" i="2" s="1"/>
  <c r="AF33" i="2"/>
  <c r="AG33" i="2" s="1"/>
  <c r="AF14" i="2"/>
  <c r="AF4" i="2"/>
  <c r="AG4" i="2" s="1"/>
  <c r="AF51" i="2"/>
  <c r="AG51" i="2" s="1"/>
  <c r="AF58" i="2"/>
  <c r="AG58" i="2" s="1"/>
  <c r="AF8" i="2"/>
  <c r="AF10" i="2"/>
  <c r="AF59" i="2"/>
  <c r="AG59" i="2" s="1"/>
  <c r="AF12" i="2"/>
  <c r="AG12" i="2" s="1"/>
  <c r="AF34" i="2"/>
  <c r="AG34" i="2" s="1"/>
  <c r="AF25" i="2"/>
  <c r="AG25" i="2" s="1"/>
  <c r="AF18" i="2"/>
  <c r="AG18" i="2" s="1"/>
  <c r="AF16" i="2"/>
  <c r="AG16" i="2" s="1"/>
  <c r="AF35" i="2"/>
  <c r="AG35" i="2" s="1"/>
  <c r="AF29" i="2"/>
  <c r="AG29" i="2" s="1"/>
  <c r="AF42" i="2"/>
  <c r="AG42" i="2" s="1"/>
  <c r="AF20" i="2"/>
  <c r="AG20" i="2" s="1"/>
  <c r="AF22" i="2"/>
  <c r="AG22" i="2" s="1"/>
  <c r="AF7" i="2"/>
  <c r="AG7" i="2" s="1"/>
  <c r="AF24" i="2"/>
  <c r="AG24" i="2" s="1"/>
  <c r="AF46" i="2"/>
  <c r="AG46" i="2" s="1"/>
  <c r="AF37" i="2"/>
  <c r="AG37" i="2" s="1"/>
  <c r="AF27" i="2"/>
  <c r="AF28" i="2"/>
  <c r="AG28" i="2" s="1"/>
  <c r="AF3" i="2"/>
  <c r="AF41" i="2"/>
  <c r="AF47" i="2"/>
  <c r="AG47" i="2" s="1"/>
  <c r="AF32" i="2"/>
  <c r="AG32" i="2" s="1"/>
  <c r="AF39" i="2"/>
  <c r="AG39" i="2" s="1"/>
  <c r="AG5" i="2"/>
  <c r="AG17" i="2"/>
  <c r="AG43" i="2"/>
  <c r="AG38" i="2"/>
  <c r="AG14" i="2"/>
  <c r="AG8" i="2"/>
  <c r="AG10" i="2"/>
  <c r="AG21" i="2"/>
  <c r="AG56" i="2"/>
  <c r="AG9" i="2"/>
  <c r="AG41" i="2"/>
  <c r="AG45" i="2"/>
  <c r="AG60" i="2"/>
  <c r="AG2" i="2"/>
  <c r="AG49" i="2"/>
  <c r="AG53" i="2"/>
  <c r="AG27" i="2"/>
  <c r="AG3" i="2"/>
  <c r="AG50" i="2"/>
  <c r="AG44" i="2"/>
  <c r="AG57" i="2"/>
  <c r="AG11" i="2"/>
  <c r="AG48" i="2"/>
  <c r="AG15" i="2"/>
</calcChain>
</file>

<file path=xl/sharedStrings.xml><?xml version="1.0" encoding="utf-8"?>
<sst xmlns="http://schemas.openxmlformats.org/spreadsheetml/2006/main" count="418" uniqueCount="231">
  <si>
    <t>Bảng so sánh thí nghiệm — Lab Day 1</t>
  </si>
  <si>
    <t>Lưu file này thành experiments.xlsx. Mỗi lần chạy là một dòng ở sheet Experiments (số dòng tuỳ bạn, có sẵn 60 dòng). Sheet Seeds và Summary tự tổng hợp.</t>
  </si>
  <si>
    <t>Quy ước màu</t>
  </si>
  <si>
    <t xml:space="preserve">   </t>
  </si>
  <si>
    <t>Ô vàng: bạn điền (cấu hình và kết quả đo).</t>
  </si>
  <si>
    <t>abc</t>
  </si>
  <si>
    <t>Chữ xanh dương: giá trị đã điền sẵn cho dòng baseline; bạn có thể sửa.</t>
  </si>
  <si>
    <t>Ô xám: công thức tự tính. Không sửa.</t>
  </si>
  <si>
    <t>Cách dùng</t>
  </si>
  <si>
    <t>1. Sheet Experiments: dòng đầu là baseline mẫu. Điền lr và kết quả; thêm dòng cho mỗi thí nghiệm khác.</t>
  </si>
  <si>
    <t>2. Mỗi dòng phải có ảnh riêng figures/&lt;exp_id&gt;.png. Điền tên file vào cột figure_file.</t>
  </si>
  <si>
    <t>3. Sheet Seeds: nhập exp_id của các lần chạy baseline với seed khác nhau (đã gợi ý base-s1..3). Sheet tự tính trung bình, σ và 2σ.</t>
  </si>
  <si>
    <t>4. Cột beyond_noise cho biết chênh lệch val_macro_f1 so với baseline có vượt 2σ không. Chỉ 'Có' mới là bằng chứng.</t>
  </si>
  <si>
    <t>5. Sheet Summary: số dòng theo nhóm và số chủ đề (trong 7) đã được thử.</t>
  </si>
  <si>
    <t>Từ điển cột (sheet Experiments)</t>
  </si>
  <si>
    <t>Cột</t>
  </si>
  <si>
    <t>Ý nghĩa</t>
  </si>
  <si>
    <t>Cách điền</t>
  </si>
  <si>
    <t>exp_id</t>
  </si>
  <si>
    <t>Mã thí nghiệm, duy nhất; trùng tên file ảnh</t>
  </si>
  <si>
    <t>Tự đặt, ví dụ base-s1, opt-adam-lr1e-3, drop-0.3.</t>
  </si>
  <si>
    <t>group</t>
  </si>
  <si>
    <t>Nhóm: baseline | loss | optimizer | hparam | dropout | clipping | amp | init | final | other</t>
  </si>
  <si>
    <t>Chọn từ danh sách.</t>
  </si>
  <si>
    <t>description</t>
  </si>
  <si>
    <t>Bạn đổi gì so với baseline</t>
  </si>
  <si>
    <t>Một câu.</t>
  </si>
  <si>
    <t>loss</t>
  </si>
  <si>
    <t>Hàm mất mát: CE | MSE</t>
  </si>
  <si>
    <t>optimizer</t>
  </si>
  <si>
    <t>SGD | SGD+momentum | Adam | AdamW</t>
  </si>
  <si>
    <t>lr</t>
  </si>
  <si>
    <t>Tốc độ học η</t>
  </si>
  <si>
    <t>Ghi số, ví dụ 0.05 hoặc 1e-3.</t>
  </si>
  <si>
    <t>weight_decay</t>
  </si>
  <si>
    <t>Hệ số suy giảm trọng số λ</t>
  </si>
  <si>
    <t>0 nếu không dùng.</t>
  </si>
  <si>
    <t>batch</t>
  </si>
  <si>
    <t>Kích thước lô</t>
  </si>
  <si>
    <t>Số nguyên.</t>
  </si>
  <si>
    <t>epochs</t>
  </si>
  <si>
    <t>Số epoch</t>
  </si>
  <si>
    <t>Khuyến nghị 20 cho mọi thí nghiệm.</t>
  </si>
  <si>
    <t>hidden</t>
  </si>
  <si>
    <t>Các lớp ẩn, ví dụ 256-128</t>
  </si>
  <si>
    <t>Chuỗi nối bằng dấu gạch.</t>
  </si>
  <si>
    <t>dropout</t>
  </si>
  <si>
    <t>Xác suất tắt nơ-ron q</t>
  </si>
  <si>
    <t>clip_norm</t>
  </si>
  <si>
    <t>Ngưỡng cắt gradient c</t>
  </si>
  <si>
    <t>'none' nếu không clip, hoặc số.</t>
  </si>
  <si>
    <t>precision</t>
  </si>
  <si>
    <t>fp32 | fp16 | bf16</t>
  </si>
  <si>
    <t>init</t>
  </si>
  <si>
    <t>zeros | normal | xavier | he | default</t>
  </si>
  <si>
    <t>Chọn từ danh sách; 'default' = mặc định của nn.Linear.</t>
  </si>
  <si>
    <t>seed</t>
  </si>
  <si>
    <t>Seed của lần chạy</t>
  </si>
  <si>
    <t>step0_loss</t>
  </si>
  <si>
    <t>Loss trên val ở bước 0 (trước cập nhật đầu tiên)</t>
  </si>
  <si>
    <t>Kỳ vọng ≈ ln 7 = 1.946 nếu khởi tạo hợp lý.</t>
  </si>
  <si>
    <t>best_val_loss</t>
  </si>
  <si>
    <t>Val loss thấp nhất qua các epoch</t>
  </si>
  <si>
    <t>best_epoch</t>
  </si>
  <si>
    <t>Epoch đạt best_val_loss</t>
  </si>
  <si>
    <t>Đếm từ 1.</t>
  </si>
  <si>
    <t>final_train_loss</t>
  </si>
  <si>
    <t>Train loss ở epoch cuối (đo ở chế độ eval)</t>
  </si>
  <si>
    <t>final_val_loss</t>
  </si>
  <si>
    <t>Val loss ở epoch cuối</t>
  </si>
  <si>
    <t>val_acc</t>
  </si>
  <si>
    <t>Val accuracy ở best_epoch</t>
  </si>
  <si>
    <t>Phân số 0–1, ví dụ 0.8123.</t>
  </si>
  <si>
    <t>val_macro_f1</t>
  </si>
  <si>
    <t>Val macro-F1 ở best_epoch</t>
  </si>
  <si>
    <t>Phân số 0–1.</t>
  </si>
  <si>
    <t>time_per_epoch_s</t>
  </si>
  <si>
    <t>Thời gian trung bình mỗi epoch (giây)</t>
  </si>
  <si>
    <t>Có torch.cuda.synchronize().</t>
  </si>
  <si>
    <t>peak_mem_MB</t>
  </si>
  <si>
    <t>Bộ nhớ GPU cực đại (MB)</t>
  </si>
  <si>
    <t>torch.cuda.max_memory_allocated()/2**20.</t>
  </si>
  <si>
    <t>diverged</t>
  </si>
  <si>
    <t>Loss thành NaN/inf? Y | N</t>
  </si>
  <si>
    <t>eval_acc</t>
  </si>
  <si>
    <t>Accuracy trên tập eval</t>
  </si>
  <si>
    <t>CHỈ điền cho baseline và cấu hình cuối cùng, lấy từ eval_result.json.</t>
  </si>
  <si>
    <t>eval_macro_f1</t>
  </si>
  <si>
    <t>macro-F1 trên tập eval</t>
  </si>
  <si>
    <t>figure_file</t>
  </si>
  <si>
    <t>Tên file ảnh</t>
  </si>
  <si>
    <t>figures/&lt;exp_id&gt;.png</t>
  </si>
  <si>
    <t>notes</t>
  </si>
  <si>
    <t>Ghi chú</t>
  </si>
  <si>
    <t>Dự đoán trước, quan sát, lý do thiếu số liệu, lỗi gặp phải...</t>
  </si>
  <si>
    <t>step0_gap_vs_lnC</t>
  </si>
  <si>
    <t>step0_loss − ln 7</t>
  </si>
  <si>
    <t>Tự tính. Gần 0 là tốt.</t>
  </si>
  <si>
    <t>gap_val_minus_train</t>
  </si>
  <si>
    <t>final_val_loss − final_train_loss</t>
  </si>
  <si>
    <t>Tự tính. Khoảng cách quá khớp.</t>
  </si>
  <si>
    <t>delta_val_f1_vs_base</t>
  </si>
  <si>
    <t>val_macro_f1 − trung bình baseline</t>
  </si>
  <si>
    <t>Tự tính từ sheet Seeds.</t>
  </si>
  <si>
    <t>beyond_noise</t>
  </si>
  <si>
    <t>|delta| &gt; 2σ_seed ?</t>
  </si>
  <si>
    <t>Tự tính: Có / Không. Cần ≥ 2 seed baseline trong sheet Seeds.</t>
  </si>
  <si>
    <t>Ví dụ một dòng điền xong (SỐ MINH HOẠ ĐỊNH DẠNG, KHÔNG PHẢI KẾT QUẢ THẬT — đừng sao chép)</t>
  </si>
  <si>
    <t>opt-adam-lr1e-3</t>
  </si>
  <si>
    <t>Adam</t>
  </si>
  <si>
    <t>N</t>
  </si>
  <si>
    <t>figures/opt-adam-lr1e-3.png</t>
  </si>
  <si>
    <t>ln 7 = 1.9459 (loss bước 0 kỳ vọng với 7 lớp). Ngưỡng nhiễu = 2 × độ lệch chuẩn của các seed baseline.</t>
  </si>
  <si>
    <t>Measured diagnostics (diagnostics.json)</t>
  </si>
  <si>
    <t>parameters</t>
  </si>
  <si>
    <t>logits_shape</t>
  </si>
  <si>
    <t>[8, 7]</t>
  </si>
  <si>
    <t>ln7</t>
  </si>
  <si>
    <t>gradient_norms</t>
  </si>
  <si>
    <t>{"net.0.weight": 0.5070549845695496, "net.0.bias": 0.3422401249408722, "net.2.weight": 2.021228551864624, "net.2.bias": 0.44387364387512207, "net.4.weight": 1.9604557752609253, "net.4.bias": 0.5724555253982544}</t>
  </si>
  <si>
    <t>tiny_loss</t>
  </si>
  <si>
    <t>tiny_acc</t>
  </si>
  <si>
    <t>tiny_steps</t>
  </si>
  <si>
    <t>train_numeric_mean</t>
  </si>
  <si>
    <t>[-6.73883753065214e-11, -1.4648819203626788e-10, -3.4296640630151753e-09, 3.0076627087462854e-10, -1.537447273732033e-09, -1.0221267886219567e-10, -1.5661473180581102e-09, -1.913773755991803e-09, -1.4133250294950382e-09, 6.889447644143128e-10]</t>
  </si>
  <si>
    <t>train_numeric_std</t>
  </si>
  <si>
    <t>[0.9999999996974336, 0.9999999999841026, 1.0000000015312058, 0.9999999972077419, 1.0000000010486725, 0.999999999933925, 1.0000000000631508, 0.9999999983967796, 0.9999999996597584, 0.99999999970391]</t>
  </si>
  <si>
    <t>n_train</t>
  </si>
  <si>
    <t>n_val</t>
  </si>
  <si>
    <t>majority_val_acc</t>
  </si>
  <si>
    <t>base-lr0p1-s1</t>
  </si>
  <si>
    <t>baseline</t>
  </si>
  <si>
    <t>Baseline learning-rate trial</t>
  </si>
  <si>
    <t>CE</t>
  </si>
  <si>
    <t>SGD+momentum</t>
  </si>
  <si>
    <t>256-128</t>
  </si>
  <si>
    <t>none</t>
  </si>
  <si>
    <t>fp32</t>
  </si>
  <si>
    <t>he</t>
  </si>
  <si>
    <t>figures/base-lr0p1-s1.png</t>
  </si>
  <si>
    <t>Prediction: Validation should identify an SGD learning rate that converges without large oscillations. Different seeds should expose training noise.; Observation: Best-checkpoint F1=0.840989, accuracy=0.906897, best epoch=18; F1 difference versus base-lr0p1-s1=+0.000000. Absolute difference does not exceed the baseline 2-sigma reference (0.023788). Momentum averages updates over recent gradients. Learning rate affects both progress and oscillation.; momentum=0.9; betas=(0.9, 0.999); eps=1e-08; train loss: fixed 50000 rows, eval mode; completed epochs=20; activation std after Linear=[0.6662027835845947, 0.646382212638855, 0.5932615399360657]</t>
  </si>
  <si>
    <t>amp-fp16</t>
  </si>
  <si>
    <t>amp</t>
  </si>
  <si>
    <t>FP16 autocast with GradScaler</t>
  </si>
  <si>
    <t>fp16</t>
  </si>
  <si>
    <t>figures/amp-fp16.png</t>
  </si>
  <si>
    <t>Prediction: FP16 should have similar F1 to FP32. Speed and memory gains may be small for this compact MLP.; Observation: Best-checkpoint F1=0.845730, accuracy=0.905725, best epoch=18; F1 difference versus base-lr0p1-s1=+0.004740. Absolute difference does not exceed the baseline 2-sigma reference (0.023788). Epoch time ratio to FP32=1.363; peak allocated GPU MiB=200.37. FP16 has a narrow exponent range; GradScaler limits gradient underflow and skips overflow updates. BF16 has a wider range, but requires hardware support.; momentum=0.9; betas=(0.9, 0.999); eps=1e-08; train loss: fixed 50000 rows, eval mode; completed epochs=20; activation std after Linear=[0.6662027835845947, 0.646382212638855, 0.5932615399360657]</t>
  </si>
  <si>
    <t>base-lr0p01-s1</t>
  </si>
  <si>
    <t>figures/base-lr0p01-s1.png</t>
  </si>
  <si>
    <t>Prediction: Validation should identify an SGD learning rate that converges without large oscillations. Different seeds should expose training noise.; Observation: Best-checkpoint F1=0.761520, accuracy=0.875831, best epoch=20; F1 difference versus base-lr0p1-s1=-0.079469. Absolute difference exceeds the baseline 2-sigma reference (0.023788). Momentum averages updates over recent gradients. Learning rate affects both progress and oscillation.; momentum=0.9; betas=(0.9, 0.999); eps=1e-08; train loss: fixed 50000 rows, eval mode; completed epochs=20; activation std after Linear=[0.6662027835845947, 0.646382212638855, 0.5932615399360657]</t>
  </si>
  <si>
    <t>base-lr0p03-s1</t>
  </si>
  <si>
    <t>figures/base-lr0p03-s1.png</t>
  </si>
  <si>
    <t>Prediction: Validation should identify an SGD learning rate that converges without large oscillations. Different seeds should expose training noise.; Observation: Best-checkpoint F1=0.824033, accuracy=0.893344, best epoch=18; F1 difference versus base-lr0p1-s1=-0.016956. Absolute difference does not exceed the baseline 2-sigma reference (0.023788). Momentum averages updates over recent gradients. Learning rate affects both progress and oscillation.; momentum=0.9; betas=(0.9, 0.999); eps=1e-08; train loss: fixed 50000 rows, eval mode; completed epochs=20; activation std after Linear=[0.6662027835845947, 0.646382212638855, 0.5932615399360657]</t>
  </si>
  <si>
    <t>base-s2</t>
  </si>
  <si>
    <t>Selected baseline, seed 2</t>
  </si>
  <si>
    <t>figures/base-s2.png</t>
  </si>
  <si>
    <t>Prediction: Validation should identify an SGD learning rate that converges without large oscillations. Different seeds should expose training noise.; Observation: Best-checkpoint F1=0.863947, accuracy=0.911340, best epoch=20; F1 difference versus base-lr0p1-s1=+0.022958. Absolute difference does not exceed the baseline 2-sigma reference (0.023788). Momentum averages updates over recent gradients. Learning rate affects both progress and oscillation.; momentum=0.9; betas=(0.9, 0.999); eps=1e-08; train loss: fixed 50000 rows, eval mode; completed epochs=20; activation std after Linear=[0.6790912747383118, 0.6944661736488342, 0.5449286699295044]</t>
  </si>
  <si>
    <t>base-s3</t>
  </si>
  <si>
    <t>Selected baseline, seed 3</t>
  </si>
  <si>
    <t>figures/base-s3.png</t>
  </si>
  <si>
    <t>Prediction: Validation should identify an SGD learning rate that converges without large oscillations. Different seeds should expose training noise.; Observation: Best-checkpoint F1=0.857861, accuracy=0.910878, best epoch=20; F1 difference versus base-lr0p1-s1=+0.016872. Absolute difference does not exceed the baseline 2-sigma reference (0.023788). Momentum averages updates over recent gradients. Learning rate affects both progress and oscillation.; momentum=0.9; betas=(0.9, 0.999); eps=1e-08; train loss: fixed 50000 rows, eval mode; completed epochs=20; activation std after Linear=[0.6721576452255249, 0.6762716770172119, 0.535956859588623]</t>
  </si>
  <si>
    <t>batch-128</t>
  </si>
  <si>
    <t>hparam</t>
  </si>
  <si>
    <t>Smaller batch; same epoch budget</t>
  </si>
  <si>
    <t>figures/batch-128.png</t>
  </si>
  <si>
    <t>Prediction: A smaller batch increases updates per epoch and gradient noise; it may improve F1 at a higher time cost.; Observation: Best-checkpoint F1=0.860720, accuracy=0.911846, best epoch=20; F1 difference versus base-lr0p1-s1=+0.019731. Absolute difference does not exceed the baseline 2-sigma reference (0.023788). Batch=128; time per epoch=5.149s. At fixed epochs, batch 128 produces about four times as many updates as batch 512. Time and update count therefore change with batch size.; momentum=0.9; betas=(0.9, 0.999); eps=1e-08; train loss: fixed 50000 rows, eval mode; completed epochs=20; activation std after Linear=[0.6662027835845947, 0.646382212638855, 0.5932615399360657]</t>
  </si>
  <si>
    <t>clip-normal</t>
  </si>
  <si>
    <t>clipping</t>
  </si>
  <si>
    <t>Clipping at the selected baseline rate</t>
  </si>
  <si>
    <t>figures/clip-normal.png</t>
  </si>
  <si>
    <t>Prediction: Clipping should cap large updates. A matched high-rate pair tests whether it improves stability; recovery is not guaranteed.; Observation: Best-checkpoint F1=0.841155, accuracy=0.901089, best epoch=20; F1 difference versus base-lr0p1-s1=+0.000166. Absolute difference does not exceed the baseline 2-sigma reference (0.023788). Mean epoch clipping fraction=0.9898. Global norm clipping rescales gradients by min(1, threshold/norm), limiting sudden update magnitudes without fixing bad labels or an unsuitable rate.; momentum=0.9; betas=(0.9, 0.999); eps=1e-08; train loss: fixed 50000 rows, eval mode; completed epochs=20; activation std after Linear=[0.6662027835845947, 0.646382212638855, 0.5932615399360657]</t>
  </si>
  <si>
    <t>dropout-0p3</t>
  </si>
  <si>
    <t>Hidden dropout probability 0.3</t>
  </si>
  <si>
    <t>figures/dropout-0p3.png</t>
  </si>
  <si>
    <t>Prediction: Dropout 0.3 should reduce a genuine generalization gap; it may hurt if the baseline is still underfitting.; Observation: Best-checkpoint F1=0.785274, accuracy=0.871550, best epoch=20; F1 difference versus base-lr0p1-s1=-0.055715. Absolute difference exceeds the baseline 2-sigma reference (0.023788). Final loss gap=0.003498 versus reference gap=0.018329. Randomly masking hidden activations regularizes co-adaptation. Train loss is measured with dropout disabled to make the gap interpretable.; momentum=0.9; betas=(0.9, 0.999); eps=1e-08; train loss: fixed 50000 rows, eval mode; completed epochs=20; activation std after Linear=[0.6662027835845947, 0.646382212638855, 0.5932615399360657]</t>
  </si>
  <si>
    <t>highlr-clip</t>
  </si>
  <si>
    <t>Matched high rate with clipping</t>
  </si>
  <si>
    <t>figures/highlr-clip.png</t>
  </si>
  <si>
    <t>Prediction: Clipping should cap large updates. A matched high-rate pair tests whether it improves stability; recovery is not guaranteed.; Observation: Best-checkpoint F1=0.817439, accuracy=0.881102, best epoch=19; F1 difference versus highlr-no-clip=+0.037081. Absolute difference exceeds the baseline 2-sigma reference (0.023788). Mean epoch clipping fraction=0.0054. Global norm clipping rescales gradients by min(1, threshold/norm), limiting sudden update magnitudes without fixing bad labels or an unsuitable rate.; momentum=0.9; betas=(0.9, 0.999); eps=1e-08; train loss: fixed 50000 rows, eval mode; completed epochs=20; activation std after Linear=[0.6662027835845947, 0.646382212638855, 0.5932615399360657]</t>
  </si>
  <si>
    <t>highlr-no-clip</t>
  </si>
  <si>
    <t>Ten times baseline rate, no clipping</t>
  </si>
  <si>
    <t>figures/highlr-no-clip.png</t>
  </si>
  <si>
    <t>Prediction: Clipping should cap large updates. A matched high-rate pair tests whether it improves stability; recovery is not guaranteed.; Observation: Best-checkpoint F1=0.780358, accuracy=0.869506, best epoch=19; F1 difference versus base-lr0p1-s1=-0.060631. Absolute difference exceeds the baseline 2-sigma reference (0.023788). Mean epoch clipping fraction=0.0000. Global norm clipping rescales gradients by min(1, threshold/norm), limiting sudden update magnitudes without fixing bad labels or an unsuitable rate.; momentum=0.9; betas=(0.9, 0.999); eps=1e-08; train loss: fixed 50000 rows, eval mode; completed epochs=20; activation std after Linear=[0.6662027835845947, 0.646382212638855, 0.5932615399360657]</t>
  </si>
  <si>
    <t>init-xavier</t>
  </si>
  <si>
    <t>Xavier normal instead of He</t>
  </si>
  <si>
    <t>xavier</t>
  </si>
  <si>
    <t>figures/init-xavier.png</t>
  </si>
  <si>
    <t>Prediction: Xavier may change activation scale. Zero weights preserve symmetry and leave hidden ReLU gradients zero.; Observation: Best-checkpoint F1=0.837379, accuracy=0.902530, best epoch=17; F1 difference versus base-lr0p1-s1=-0.003611. Absolute difference does not exceed the baseline 2-sigma reference (0.023788). Initial activation standard deviations=[0.2780497372150421, 0.2202722579240799, 0.196858748793602]. He uses variance 2/fan_in for ReLU; Xavier uses 2/(fan_in+fan_out). At zero initialization, ReLU derivatives block hidden-layer learning.; momentum=0.9; betas=(0.9, 0.999); eps=1e-08; train loss: fixed 50000 rows, eval mode; completed epochs=20; activation std after Linear=[0.2780497372150421, 0.2202722579240799, 0.196858748793602]</t>
  </si>
  <si>
    <t>init-zeros</t>
  </si>
  <si>
    <t>Zero initialization symmetry test</t>
  </si>
  <si>
    <t>zeros</t>
  </si>
  <si>
    <t>figures/init-zeros.png</t>
  </si>
  <si>
    <t>Prediction: Xavier may change activation scale. Zero weights preserve symmetry and leave hidden ReLU gradients zero.; Observation: Best-checkpoint F1=0.093650, accuracy=0.487597, best epoch=10; F1 difference versus base-lr0p1-s1=-0.747339. Absolute difference exceeds the baseline 2-sigma reference (0.023788). Initial activation standard deviations=[0.0, 0.0, 0.0]. He uses variance 2/fan_in for ReLU; Xavier uses 2/(fan_in+fan_out). At zero initialization, ReLU derivatives block hidden-layer learning.; momentum=0.9; betas=(0.9, 0.999); eps=1e-08; train loss: fixed 50000 rows, eval mode; completed epochs=20; activation std after Linear=[0.0, 0.0, 0.0]</t>
  </si>
  <si>
    <t>loss-mse</t>
  </si>
  <si>
    <t>Raw-logit MSE instead of CE</t>
  </si>
  <si>
    <t>MSE</t>
  </si>
  <si>
    <t>figures/loss-mse.png</t>
  </si>
  <si>
    <t>Prediction: Raw-logit MSE may converge differently from CE. Its loss scale is different, so compare accuracy and macro-F1.; Observation: Best-checkpoint F1=0.725932, accuracy=0.869893, best epoch=20; F1 difference versus base-lr0p1-s1=-0.115057. Absolute difference exceeds the baseline 2-sigma reference (0.023788). CE applies log-softmax to raw logits. MSE regresses seven raw logits toward one-hot targets and averages over all seven coordinates.; momentum=0.9; betas=(0.9, 0.999); eps=1e-08; train loss: fixed 50000 rows, eval mode; completed epochs=20; activation std after Linear=[0.6662027835845947, 0.646382212638855, 0.5932615399360657]; MSE: mean over N*7 raw logits and one-hot targets; no 1/2 factor.</t>
  </si>
  <si>
    <t>opt-adam-lr0.0003</t>
  </si>
  <si>
    <t>Adam with independently tuned learning rate</t>
  </si>
  <si>
    <t>figures/opt-adam-lr0.0003.png</t>
  </si>
  <si>
    <t>Prediction: Adam may converge faster, but the comparison must use a validation-tuned rate for each optimizer.; Observation: Best-checkpoint F1=0.787445, accuracy=0.872787, best epoch=20; F1 difference versus base-lr0p1-s1=-0.053544. Absolute difference exceeds the baseline 2-sigma reference (0.023788). Adam scales coordinate updates using moving averages of gradients and squared gradients. AdamW decouples weight decay; neither is automatically better.; momentum=0.9; betas=(0.9, 0.999); eps=1e-08; train loss: fixed 50000 rows, eval mode; completed epochs=20; activation std after Linear=[0.6662027835845947, 0.646382212638855, 0.5932615399360657]</t>
  </si>
  <si>
    <t>opt-adam-lr0.001</t>
  </si>
  <si>
    <t>figures/opt-adam-lr0.001.png</t>
  </si>
  <si>
    <t>Prediction: Adam may converge faster, but the comparison must use a validation-tuned rate for each optimizer.; Observation: Best-checkpoint F1=0.847647, accuracy=0.901358, best epoch=20; F1 difference versus base-lr0p1-s1=+0.006657. Absolute difference does not exceed the baseline 2-sigma reference (0.023788). Adam scales coordinate updates using moving averages of gradients and squared gradients. AdamW decouples weight decay; neither is automatically better.; momentum=0.9; betas=(0.9, 0.999); eps=1e-08; train loss: fixed 50000 rows, eval mode; completed epochs=20; activation std after Linear=[0.6662027835845947, 0.646382212638855, 0.5932615399360657]</t>
  </si>
  <si>
    <t>exp_id baseline (nhập)</t>
  </si>
  <si>
    <t>mean</t>
  </si>
  <si>
    <t>std (mẫu)</t>
  </si>
  <si>
    <t>2σ (ngưỡng nhiễu)</t>
  </si>
  <si>
    <t>Nhập exp_id của các lần chạy baseline (khác seed) ở cột A. Cần ≥ 2 seed để có σ.</t>
  </si>
  <si>
    <t>Mọi chênh lệch nhỏ hơn 2σ không được coi là bằng chứng. Với ít seed, σ chỉ là ước lượng thô; nêu rõ trong báo cáo.</t>
  </si>
  <si>
    <t>số dòng</t>
  </si>
  <si>
    <t>đã điền val_macro_f1</t>
  </si>
  <si>
    <t>val_macro_f1 cao nhất</t>
  </si>
  <si>
    <t>val_macro_f1 thấp nhất</t>
  </si>
  <si>
    <t>val_acc cao nhất</t>
  </si>
  <si>
    <t>đã thử chủ đề này?</t>
  </si>
  <si>
    <t>nhận xét ngắn (bạn viết)</t>
  </si>
  <si>
    <t>—</t>
  </si>
  <si>
    <t>Best-checkpoint F1=0.857861, accuracy=0.910878, best epoch=20; F1 difference versus base-lr0p1-s1=+0.016872. Absolute difference does not exceed the baseline 2-sigma reference (0.023788). Momentum averages updates over recent gradients. Learning rate affects both progress and oscillation.</t>
  </si>
  <si>
    <t>Best-checkpoint F1=0.725932, accuracy=0.869893, best epoch=20; F1 difference versus base-lr0p1-s1=-0.115057. Absolute difference exceeds the baseline 2-sigma reference (0.023788). CE applies log-softmax to raw logits. MSE regresses seven raw logits toward one-hot targets and averages over all seven coordinates.</t>
  </si>
  <si>
    <t>Best-checkpoint F1=0.847647, accuracy=0.901358, best epoch=20; F1 difference versus base-lr0p1-s1=+0.006657. Absolute difference does not exceed the baseline 2-sigma reference (0.023788). Adam scales coordinate updates using moving averages of gradients and squared gradients. AdamW decouples weight decay; neither is automatically better.</t>
  </si>
  <si>
    <t>Best-checkpoint F1=0.860720, accuracy=0.911846, best epoch=20; F1 difference versus base-lr0p1-s1=+0.019731. Absolute difference does not exceed the baseline 2-sigma reference (0.023788). Batch=128; time per epoch=5.149s. At fixed epochs, batch 128 produces about four times as many updates as batch 512. Time and update count therefore change with batch size.</t>
  </si>
  <si>
    <t>Best-checkpoint F1=0.785274, accuracy=0.871550, best epoch=20; F1 difference versus base-lr0p1-s1=-0.055715. Absolute difference exceeds the baseline 2-sigma reference (0.023788). Final loss gap=0.003498 versus reference gap=0.018329. Randomly masking hidden activations regularizes co-adaptation. Train loss is measured with dropout disabled to make the gap interpretable.</t>
  </si>
  <si>
    <t>Best-checkpoint F1=0.817439, accuracy=0.881102, best epoch=19; F1 difference versus highlr-no-clip=+0.037081. Absolute difference exceeds the baseline 2-sigma reference (0.023788). Mean epoch clipping fraction=0.0054. Global norm clipping rescales gradients by min(1, threshold/norm), limiting sudden update magnitudes without fixing bad labels or an unsuitable rate.</t>
  </si>
  <si>
    <t>Best-checkpoint F1=0.845730, accuracy=0.905725, best epoch=18; F1 difference versus base-lr0p1-s1=+0.004740. Absolute difference does not exceed the baseline 2-sigma reference (0.023788). Epoch time ratio to FP32=1.363; peak allocated GPU MiB=200.37. FP16 has a narrow exponent range; GradScaler limits gradient underflow and skips overflow updates. BF16 has a wider range, but requires hardware support. BF16 not supported by this runtime.</t>
  </si>
  <si>
    <t>Best-checkpoint F1=0.093650, accuracy=0.487597, best epoch=10; F1 difference versus base-lr0p1-s1=-0.747339. Absolute difference exceeds the baseline 2-sigma reference (0.023788). Initial activation standard deviations=[0.0, 0.0, 0.0]. He uses variance 2/fan_in for ReLU; Xavier uses 2/(fan_in+fan_out). At zero initialization, ReLU derivatives block hidden-layer learning.</t>
  </si>
  <si>
    <t>final</t>
  </si>
  <si>
    <t>other</t>
  </si>
  <si>
    <t>Số chủ đề (trong 7) đã thử:</t>
  </si>
  <si>
    <t>7 chủ đề: loss, optimizer, hparam, dropout, clipping, amp, init. Một chủ đề 'đã thử' khi có ≥ 1 dòng có val_macro_f1.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</si>
</sst>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4" fillId="0" borderId="1" xfId="0" applyFont="1" applyBorder="1"/>
    <xf numFmtId="0" fontId="0" fillId="3" borderId="1" xfId="0" applyFill="1" applyBorder="1"/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4" borderId="0" xfId="0" applyFont="1" applyFill="1" applyAlignment="1">
      <alignment horizontal="center" vertical="center" wrapText="1"/>
    </xf>
    <xf numFmtId="0" fontId="2" fillId="0" borderId="1" xfId="0" applyFont="1" applyBorder="1"/>
    <xf numFmtId="0" fontId="4" fillId="2" borderId="1" xfId="0" applyFont="1" applyFill="1" applyBorder="1"/>
    <xf numFmtId="0" fontId="2" fillId="2" borderId="1" xfId="0" applyFont="1" applyFill="1" applyBorder="1"/>
    <xf numFmtId="164" fontId="2" fillId="2" borderId="1" xfId="0" applyNumberFormat="1" applyFont="1" applyFill="1" applyBorder="1"/>
    <xf numFmtId="164" fontId="2" fillId="3" borderId="1" xfId="0" applyNumberFormat="1" applyFont="1" applyFill="1" applyBorder="1"/>
    <xf numFmtId="0" fontId="3" fillId="0" borderId="1" xfId="0" applyFont="1" applyBorder="1"/>
    <xf numFmtId="0" fontId="2" fillId="3" borderId="1" xfId="0" applyFont="1" applyFill="1" applyBorder="1"/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"/>
  <sheetViews>
    <sheetView zoomScaleNormal="100" workbookViewId="0"/>
  </sheetViews>
  <sheetFormatPr defaultColWidth="8.6640625" defaultRowHeight="14.4" x14ac:dyDescent="0.3"/>
  <cols>
    <col min="1" max="1" width="24" customWidth="1"/>
    <col min="2" max="2" width="60" customWidth="1"/>
    <col min="3" max="3" width="52" customWidth="1"/>
    <col min="4" max="12" width="14" customWidth="1"/>
  </cols>
  <sheetData>
    <row r="1" spans="1:2" ht="17.399999999999999" customHeight="1" x14ac:dyDescent="0.3">
      <c r="A1" s="1" t="s">
        <v>0</v>
      </c>
    </row>
    <row r="2" spans="1:2" ht="15" customHeight="1" x14ac:dyDescent="0.3">
      <c r="A2" s="2" t="s">
        <v>1</v>
      </c>
    </row>
    <row r="4" spans="1:2" ht="15" customHeight="1" x14ac:dyDescent="0.3">
      <c r="A4" s="3" t="s">
        <v>2</v>
      </c>
    </row>
    <row r="5" spans="1:2" ht="15" customHeight="1" x14ac:dyDescent="0.3">
      <c r="A5" s="4" t="s">
        <v>3</v>
      </c>
      <c r="B5" s="2" t="s">
        <v>4</v>
      </c>
    </row>
    <row r="6" spans="1:2" ht="15" customHeight="1" x14ac:dyDescent="0.3">
      <c r="A6" s="5" t="s">
        <v>5</v>
      </c>
      <c r="B6" s="2" t="s">
        <v>6</v>
      </c>
    </row>
    <row r="7" spans="1:2" ht="15" customHeight="1" x14ac:dyDescent="0.3">
      <c r="A7" s="6" t="s">
        <v>3</v>
      </c>
      <c r="B7" s="2" t="s">
        <v>7</v>
      </c>
    </row>
    <row r="9" spans="1:2" ht="15" customHeight="1" x14ac:dyDescent="0.3">
      <c r="A9" s="3" t="s">
        <v>8</v>
      </c>
    </row>
    <row r="10" spans="1:2" ht="15" customHeight="1" x14ac:dyDescent="0.3">
      <c r="A10" s="2" t="s">
        <v>9</v>
      </c>
    </row>
    <row r="11" spans="1:2" ht="15" customHeight="1" x14ac:dyDescent="0.3">
      <c r="A11" s="2" t="s">
        <v>10</v>
      </c>
    </row>
    <row r="12" spans="1:2" ht="15" customHeight="1" x14ac:dyDescent="0.3">
      <c r="A12" s="2" t="s">
        <v>11</v>
      </c>
    </row>
    <row r="13" spans="1:2" ht="15" customHeight="1" x14ac:dyDescent="0.3">
      <c r="A13" s="2" t="s">
        <v>12</v>
      </c>
    </row>
    <row r="14" spans="1:2" ht="15" customHeight="1" x14ac:dyDescent="0.3">
      <c r="A14" s="2" t="s">
        <v>13</v>
      </c>
    </row>
    <row r="16" spans="1:2" ht="15" customHeight="1" x14ac:dyDescent="0.3">
      <c r="A16" s="3" t="s">
        <v>14</v>
      </c>
    </row>
    <row r="17" spans="1:3" ht="15" customHeight="1" x14ac:dyDescent="0.3">
      <c r="A17" s="7" t="s">
        <v>15</v>
      </c>
      <c r="B17" s="7" t="s">
        <v>16</v>
      </c>
      <c r="C17" s="7" t="s">
        <v>17</v>
      </c>
    </row>
    <row r="18" spans="1:3" ht="15" customHeight="1" x14ac:dyDescent="0.3">
      <c r="A18" s="8" t="s">
        <v>18</v>
      </c>
      <c r="B18" s="9" t="s">
        <v>19</v>
      </c>
      <c r="C18" s="9" t="s">
        <v>20</v>
      </c>
    </row>
    <row r="19" spans="1:3" ht="23.85" customHeight="1" x14ac:dyDescent="0.3">
      <c r="A19" s="8" t="s">
        <v>21</v>
      </c>
      <c r="B19" s="9" t="s">
        <v>22</v>
      </c>
      <c r="C19" s="9" t="s">
        <v>23</v>
      </c>
    </row>
    <row r="20" spans="1:3" ht="15" customHeight="1" x14ac:dyDescent="0.3">
      <c r="A20" s="8" t="s">
        <v>24</v>
      </c>
      <c r="B20" s="9" t="s">
        <v>25</v>
      </c>
      <c r="C20" s="9" t="s">
        <v>26</v>
      </c>
    </row>
    <row r="21" spans="1:3" ht="15" customHeight="1" x14ac:dyDescent="0.3">
      <c r="A21" s="8" t="s">
        <v>27</v>
      </c>
      <c r="B21" s="9" t="s">
        <v>28</v>
      </c>
      <c r="C21" s="9" t="s">
        <v>23</v>
      </c>
    </row>
    <row r="22" spans="1:3" ht="15" customHeight="1" x14ac:dyDescent="0.3">
      <c r="A22" s="8" t="s">
        <v>29</v>
      </c>
      <c r="B22" s="9" t="s">
        <v>30</v>
      </c>
      <c r="C22" s="9" t="s">
        <v>23</v>
      </c>
    </row>
    <row r="23" spans="1:3" ht="15" customHeight="1" x14ac:dyDescent="0.3">
      <c r="A23" s="8" t="s">
        <v>31</v>
      </c>
      <c r="B23" s="9" t="s">
        <v>32</v>
      </c>
      <c r="C23" s="9" t="s">
        <v>33</v>
      </c>
    </row>
    <row r="24" spans="1:3" ht="15" customHeight="1" x14ac:dyDescent="0.3">
      <c r="A24" s="8" t="s">
        <v>34</v>
      </c>
      <c r="B24" s="9" t="s">
        <v>35</v>
      </c>
      <c r="C24" s="9" t="s">
        <v>36</v>
      </c>
    </row>
    <row r="25" spans="1:3" ht="15" customHeight="1" x14ac:dyDescent="0.3">
      <c r="A25" s="8" t="s">
        <v>37</v>
      </c>
      <c r="B25" s="9" t="s">
        <v>38</v>
      </c>
      <c r="C25" s="9" t="s">
        <v>39</v>
      </c>
    </row>
    <row r="26" spans="1:3" ht="15" customHeight="1" x14ac:dyDescent="0.3">
      <c r="A26" s="8" t="s">
        <v>40</v>
      </c>
      <c r="B26" s="9" t="s">
        <v>41</v>
      </c>
      <c r="C26" s="9" t="s">
        <v>42</v>
      </c>
    </row>
    <row r="27" spans="1:3" ht="15" customHeight="1" x14ac:dyDescent="0.3">
      <c r="A27" s="8" t="s">
        <v>43</v>
      </c>
      <c r="B27" s="9" t="s">
        <v>44</v>
      </c>
      <c r="C27" s="9" t="s">
        <v>45</v>
      </c>
    </row>
    <row r="28" spans="1:3" ht="15" customHeight="1" x14ac:dyDescent="0.3">
      <c r="A28" s="8" t="s">
        <v>46</v>
      </c>
      <c r="B28" s="9" t="s">
        <v>47</v>
      </c>
      <c r="C28" s="9" t="s">
        <v>36</v>
      </c>
    </row>
    <row r="29" spans="1:3" ht="15" customHeight="1" x14ac:dyDescent="0.3">
      <c r="A29" s="8" t="s">
        <v>48</v>
      </c>
      <c r="B29" s="9" t="s">
        <v>49</v>
      </c>
      <c r="C29" s="9" t="s">
        <v>50</v>
      </c>
    </row>
    <row r="30" spans="1:3" ht="15" customHeight="1" x14ac:dyDescent="0.3">
      <c r="A30" s="8" t="s">
        <v>51</v>
      </c>
      <c r="B30" s="9" t="s">
        <v>52</v>
      </c>
      <c r="C30" s="9" t="s">
        <v>23</v>
      </c>
    </row>
    <row r="31" spans="1:3" ht="15" customHeight="1" x14ac:dyDescent="0.3">
      <c r="A31" s="8" t="s">
        <v>53</v>
      </c>
      <c r="B31" s="9" t="s">
        <v>54</v>
      </c>
      <c r="C31" s="9" t="s">
        <v>55</v>
      </c>
    </row>
    <row r="32" spans="1:3" ht="15" customHeight="1" x14ac:dyDescent="0.3">
      <c r="A32" s="8" t="s">
        <v>56</v>
      </c>
      <c r="B32" s="9" t="s">
        <v>57</v>
      </c>
      <c r="C32" s="9" t="s">
        <v>39</v>
      </c>
    </row>
    <row r="33" spans="1:3" ht="15" customHeight="1" x14ac:dyDescent="0.3">
      <c r="A33" s="8" t="s">
        <v>58</v>
      </c>
      <c r="B33" s="9" t="s">
        <v>59</v>
      </c>
      <c r="C33" s="9" t="s">
        <v>60</v>
      </c>
    </row>
    <row r="34" spans="1:3" ht="15" customHeight="1" x14ac:dyDescent="0.3">
      <c r="A34" s="8" t="s">
        <v>61</v>
      </c>
      <c r="B34" s="9" t="s">
        <v>62</v>
      </c>
      <c r="C34" s="9"/>
    </row>
    <row r="35" spans="1:3" ht="15" customHeight="1" x14ac:dyDescent="0.3">
      <c r="A35" s="8" t="s">
        <v>63</v>
      </c>
      <c r="B35" s="9" t="s">
        <v>64</v>
      </c>
      <c r="C35" s="9" t="s">
        <v>65</v>
      </c>
    </row>
    <row r="36" spans="1:3" ht="15" customHeight="1" x14ac:dyDescent="0.3">
      <c r="A36" s="8" t="s">
        <v>66</v>
      </c>
      <c r="B36" s="9" t="s">
        <v>67</v>
      </c>
      <c r="C36" s="9"/>
    </row>
    <row r="37" spans="1:3" ht="15" customHeight="1" x14ac:dyDescent="0.3">
      <c r="A37" s="8" t="s">
        <v>68</v>
      </c>
      <c r="B37" s="9" t="s">
        <v>69</v>
      </c>
      <c r="C37" s="9"/>
    </row>
    <row r="38" spans="1:3" ht="15" customHeight="1" x14ac:dyDescent="0.3">
      <c r="A38" s="8" t="s">
        <v>70</v>
      </c>
      <c r="B38" s="9" t="s">
        <v>71</v>
      </c>
      <c r="C38" s="9" t="s">
        <v>72</v>
      </c>
    </row>
    <row r="39" spans="1:3" ht="15" customHeight="1" x14ac:dyDescent="0.3">
      <c r="A39" s="8" t="s">
        <v>73</v>
      </c>
      <c r="B39" s="9" t="s">
        <v>74</v>
      </c>
      <c r="C39" s="9" t="s">
        <v>75</v>
      </c>
    </row>
    <row r="40" spans="1:3" ht="15" customHeight="1" x14ac:dyDescent="0.3">
      <c r="A40" s="8" t="s">
        <v>76</v>
      </c>
      <c r="B40" s="9" t="s">
        <v>77</v>
      </c>
      <c r="C40" s="9" t="s">
        <v>78</v>
      </c>
    </row>
    <row r="41" spans="1:3" ht="15" customHeight="1" x14ac:dyDescent="0.3">
      <c r="A41" s="8" t="s">
        <v>79</v>
      </c>
      <c r="B41" s="9" t="s">
        <v>80</v>
      </c>
      <c r="C41" s="9" t="s">
        <v>81</v>
      </c>
    </row>
    <row r="42" spans="1:3" ht="15" customHeight="1" x14ac:dyDescent="0.3">
      <c r="A42" s="8" t="s">
        <v>82</v>
      </c>
      <c r="B42" s="9" t="s">
        <v>83</v>
      </c>
      <c r="C42" s="9" t="s">
        <v>23</v>
      </c>
    </row>
    <row r="43" spans="1:3" ht="23.85" customHeight="1" x14ac:dyDescent="0.3">
      <c r="A43" s="8" t="s">
        <v>84</v>
      </c>
      <c r="B43" s="9" t="s">
        <v>85</v>
      </c>
      <c r="C43" s="9" t="s">
        <v>86</v>
      </c>
    </row>
    <row r="44" spans="1:3" ht="23.85" customHeight="1" x14ac:dyDescent="0.3">
      <c r="A44" s="8" t="s">
        <v>87</v>
      </c>
      <c r="B44" s="9" t="s">
        <v>88</v>
      </c>
      <c r="C44" s="9" t="s">
        <v>86</v>
      </c>
    </row>
    <row r="45" spans="1:3" ht="15" customHeight="1" x14ac:dyDescent="0.3">
      <c r="A45" s="8" t="s">
        <v>89</v>
      </c>
      <c r="B45" s="9" t="s">
        <v>90</v>
      </c>
      <c r="C45" s="9" t="s">
        <v>91</v>
      </c>
    </row>
    <row r="46" spans="1:3" ht="15" customHeight="1" x14ac:dyDescent="0.3">
      <c r="A46" s="8" t="s">
        <v>92</v>
      </c>
      <c r="B46" s="9" t="s">
        <v>93</v>
      </c>
      <c r="C46" s="9" t="s">
        <v>94</v>
      </c>
    </row>
    <row r="47" spans="1:3" ht="15" customHeight="1" x14ac:dyDescent="0.3">
      <c r="A47" s="8" t="s">
        <v>95</v>
      </c>
      <c r="B47" s="9" t="s">
        <v>96</v>
      </c>
      <c r="C47" s="9" t="s">
        <v>97</v>
      </c>
    </row>
    <row r="48" spans="1:3" ht="15" customHeight="1" x14ac:dyDescent="0.3">
      <c r="A48" s="8" t="s">
        <v>98</v>
      </c>
      <c r="B48" s="9" t="s">
        <v>99</v>
      </c>
      <c r="C48" s="9" t="s">
        <v>100</v>
      </c>
    </row>
    <row r="49" spans="1:12" ht="15" customHeight="1" x14ac:dyDescent="0.3">
      <c r="A49" s="8" t="s">
        <v>101</v>
      </c>
      <c r="B49" s="9" t="s">
        <v>102</v>
      </c>
      <c r="C49" s="9" t="s">
        <v>103</v>
      </c>
    </row>
    <row r="50" spans="1:12" ht="15" customHeight="1" x14ac:dyDescent="0.3">
      <c r="A50" s="8" t="s">
        <v>104</v>
      </c>
      <c r="B50" s="9" t="s">
        <v>105</v>
      </c>
      <c r="C50" s="9" t="s">
        <v>106</v>
      </c>
    </row>
    <row r="52" spans="1:12" ht="15" customHeight="1" x14ac:dyDescent="0.3">
      <c r="A52" s="3" t="s">
        <v>107</v>
      </c>
    </row>
    <row r="53" spans="1:12" ht="23.85" customHeight="1" x14ac:dyDescent="0.3">
      <c r="A53" s="10" t="s">
        <v>18</v>
      </c>
      <c r="B53" s="10" t="s">
        <v>21</v>
      </c>
      <c r="C53" s="10" t="s">
        <v>29</v>
      </c>
      <c r="D53" s="10" t="s">
        <v>31</v>
      </c>
      <c r="E53" s="10" t="s">
        <v>58</v>
      </c>
      <c r="F53" s="10" t="s">
        <v>61</v>
      </c>
      <c r="G53" s="10" t="s">
        <v>63</v>
      </c>
      <c r="H53" s="10" t="s">
        <v>70</v>
      </c>
      <c r="I53" s="10" t="s">
        <v>73</v>
      </c>
      <c r="J53" s="10" t="s">
        <v>76</v>
      </c>
      <c r="K53" s="10" t="s">
        <v>82</v>
      </c>
      <c r="L53" s="10" t="s">
        <v>89</v>
      </c>
    </row>
    <row r="54" spans="1:12" ht="15" customHeight="1" x14ac:dyDescent="0.3">
      <c r="A54" s="11" t="s">
        <v>108</v>
      </c>
      <c r="B54" s="11" t="s">
        <v>29</v>
      </c>
      <c r="C54" s="11" t="s">
        <v>109</v>
      </c>
      <c r="D54" s="11">
        <v>1E-3</v>
      </c>
      <c r="E54" s="11">
        <v>1.95</v>
      </c>
      <c r="F54" s="11">
        <v>0.6</v>
      </c>
      <c r="G54" s="11">
        <v>18</v>
      </c>
      <c r="H54" s="11">
        <v>0.75</v>
      </c>
      <c r="I54" s="11">
        <v>0.65</v>
      </c>
      <c r="J54" s="11">
        <v>2.1</v>
      </c>
      <c r="K54" s="11" t="s">
        <v>110</v>
      </c>
      <c r="L54" s="11" t="s">
        <v>111</v>
      </c>
    </row>
    <row r="56" spans="1:12" ht="15" customHeight="1" x14ac:dyDescent="0.3">
      <c r="A56" s="2" t="s">
        <v>112</v>
      </c>
    </row>
    <row r="58" spans="1:12" x14ac:dyDescent="0.3">
      <c r="A58" t="s">
        <v>113</v>
      </c>
    </row>
    <row r="59" spans="1:12" x14ac:dyDescent="0.3">
      <c r="A59" t="s">
        <v>114</v>
      </c>
      <c r="B59">
        <v>47879</v>
      </c>
    </row>
    <row r="60" spans="1:12" x14ac:dyDescent="0.3">
      <c r="A60" t="s">
        <v>115</v>
      </c>
      <c r="B60" t="s">
        <v>116</v>
      </c>
    </row>
    <row r="61" spans="1:12" x14ac:dyDescent="0.3">
      <c r="A61" t="s">
        <v>58</v>
      </c>
      <c r="B61">
        <v>2.2690618110553</v>
      </c>
    </row>
    <row r="62" spans="1:12" x14ac:dyDescent="0.3">
      <c r="A62" t="s">
        <v>117</v>
      </c>
      <c r="B62">
        <v>1.945910149055313</v>
      </c>
    </row>
    <row r="63" spans="1:12" x14ac:dyDescent="0.3">
      <c r="A63" t="s">
        <v>118</v>
      </c>
      <c r="B63" t="s">
        <v>119</v>
      </c>
    </row>
    <row r="64" spans="1:12" x14ac:dyDescent="0.3">
      <c r="A64" t="s">
        <v>120</v>
      </c>
      <c r="B64">
        <v>4.3928430386586106E-6</v>
      </c>
    </row>
    <row r="65" spans="1:2" x14ac:dyDescent="0.3">
      <c r="A65" t="s">
        <v>121</v>
      </c>
      <c r="B65">
        <v>1</v>
      </c>
    </row>
    <row r="66" spans="1:2" x14ac:dyDescent="0.3">
      <c r="A66" t="s">
        <v>122</v>
      </c>
      <c r="B66">
        <v>500</v>
      </c>
    </row>
    <row r="67" spans="1:2" x14ac:dyDescent="0.3">
      <c r="A67" t="s">
        <v>123</v>
      </c>
      <c r="B67" t="s">
        <v>124</v>
      </c>
    </row>
    <row r="68" spans="1:2" x14ac:dyDescent="0.3">
      <c r="A68" t="s">
        <v>125</v>
      </c>
      <c r="B68" t="s">
        <v>126</v>
      </c>
    </row>
    <row r="69" spans="1:2" x14ac:dyDescent="0.3">
      <c r="A69" t="s">
        <v>127</v>
      </c>
      <c r="B69">
        <v>371847</v>
      </c>
    </row>
    <row r="70" spans="1:2" x14ac:dyDescent="0.3">
      <c r="A70" t="s">
        <v>128</v>
      </c>
      <c r="B70">
        <v>92962</v>
      </c>
    </row>
    <row r="71" spans="1:2" x14ac:dyDescent="0.3">
      <c r="A71" t="s">
        <v>129</v>
      </c>
      <c r="B71">
        <v>0.48759708267894408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1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1" width="16" customWidth="1"/>
    <col min="2" max="2" width="11" customWidth="1"/>
    <col min="3" max="3" width="34" customWidth="1"/>
    <col min="4" max="4" width="8" customWidth="1"/>
    <col min="5" max="5" width="15" customWidth="1"/>
    <col min="6" max="7" width="9" customWidth="1"/>
    <col min="8" max="9" width="7" customWidth="1"/>
    <col min="10" max="10" width="12" customWidth="1"/>
    <col min="11" max="11" width="8" customWidth="1"/>
    <col min="12" max="12" width="9" customWidth="1"/>
    <col min="13" max="13" width="10" customWidth="1"/>
    <col min="14" max="14" width="9" customWidth="1"/>
    <col min="15" max="15" width="6" customWidth="1"/>
    <col min="16" max="17" width="10" customWidth="1"/>
    <col min="18" max="18" width="8" customWidth="1"/>
    <col min="19" max="20" width="10" customWidth="1"/>
    <col min="21" max="22" width="9" customWidth="1"/>
    <col min="23" max="23" width="10" customWidth="1"/>
    <col min="24" max="27" width="9" customWidth="1"/>
    <col min="28" max="28" width="22" customWidth="1"/>
    <col min="29" max="29" width="36" customWidth="1"/>
    <col min="30" max="32" width="10" customWidth="1"/>
    <col min="33" max="33" width="9" customWidth="1"/>
  </cols>
  <sheetData>
    <row r="1" spans="1:33" ht="42" customHeight="1" x14ac:dyDescent="0.3">
      <c r="A1" s="7" t="s">
        <v>18</v>
      </c>
      <c r="B1" s="7" t="s">
        <v>21</v>
      </c>
      <c r="C1" s="7" t="s">
        <v>24</v>
      </c>
      <c r="D1" s="7" t="s">
        <v>27</v>
      </c>
      <c r="E1" s="7" t="s">
        <v>29</v>
      </c>
      <c r="F1" s="7" t="s">
        <v>31</v>
      </c>
      <c r="G1" s="7" t="s">
        <v>34</v>
      </c>
      <c r="H1" s="7" t="s">
        <v>37</v>
      </c>
      <c r="I1" s="7" t="s">
        <v>40</v>
      </c>
      <c r="J1" s="7" t="s">
        <v>43</v>
      </c>
      <c r="K1" s="7" t="s">
        <v>46</v>
      </c>
      <c r="L1" s="7" t="s">
        <v>48</v>
      </c>
      <c r="M1" s="7" t="s">
        <v>51</v>
      </c>
      <c r="N1" s="7" t="s">
        <v>53</v>
      </c>
      <c r="O1" s="7" t="s">
        <v>56</v>
      </c>
      <c r="P1" s="7" t="s">
        <v>58</v>
      </c>
      <c r="Q1" s="7" t="s">
        <v>61</v>
      </c>
      <c r="R1" s="7" t="s">
        <v>63</v>
      </c>
      <c r="S1" s="7" t="s">
        <v>66</v>
      </c>
      <c r="T1" s="7" t="s">
        <v>68</v>
      </c>
      <c r="U1" s="7" t="s">
        <v>70</v>
      </c>
      <c r="V1" s="7" t="s">
        <v>73</v>
      </c>
      <c r="W1" s="7" t="s">
        <v>76</v>
      </c>
      <c r="X1" s="7" t="s">
        <v>79</v>
      </c>
      <c r="Y1" s="7" t="s">
        <v>82</v>
      </c>
      <c r="Z1" s="7" t="s">
        <v>84</v>
      </c>
      <c r="AA1" s="7" t="s">
        <v>87</v>
      </c>
      <c r="AB1" s="7" t="s">
        <v>89</v>
      </c>
      <c r="AC1" s="7" t="s">
        <v>92</v>
      </c>
      <c r="AD1" s="7" t="s">
        <v>95</v>
      </c>
      <c r="AE1" s="7" t="s">
        <v>98</v>
      </c>
      <c r="AF1" s="7" t="s">
        <v>101</v>
      </c>
      <c r="AG1" s="7" t="s">
        <v>104</v>
      </c>
    </row>
    <row r="2" spans="1:33" ht="15" customHeight="1" x14ac:dyDescent="0.3">
      <c r="A2" s="12" t="s">
        <v>130</v>
      </c>
      <c r="B2" s="12" t="s">
        <v>131</v>
      </c>
      <c r="C2" s="12" t="s">
        <v>132</v>
      </c>
      <c r="D2" s="12" t="s">
        <v>133</v>
      </c>
      <c r="E2" s="12" t="s">
        <v>134</v>
      </c>
      <c r="F2" s="13">
        <v>0.1</v>
      </c>
      <c r="G2" s="12">
        <v>0</v>
      </c>
      <c r="H2" s="12">
        <v>512</v>
      </c>
      <c r="I2" s="12">
        <v>20</v>
      </c>
      <c r="J2" s="12" t="s">
        <v>135</v>
      </c>
      <c r="K2" s="12">
        <v>0</v>
      </c>
      <c r="L2" s="12" t="s">
        <v>136</v>
      </c>
      <c r="M2" s="12" t="s">
        <v>137</v>
      </c>
      <c r="N2" s="12" t="s">
        <v>138</v>
      </c>
      <c r="O2" s="12">
        <v>1</v>
      </c>
      <c r="P2" s="14">
        <v>2.2690618110553</v>
      </c>
      <c r="Q2" s="14">
        <v>0.23315939486516621</v>
      </c>
      <c r="R2" s="13">
        <v>18</v>
      </c>
      <c r="S2" s="14">
        <v>0.21814798711776731</v>
      </c>
      <c r="T2" s="14">
        <v>0.236477150598147</v>
      </c>
      <c r="U2" s="14">
        <v>0.90689744196553435</v>
      </c>
      <c r="V2" s="14">
        <v>0.84098906652952699</v>
      </c>
      <c r="W2" s="13">
        <v>1.316054724150004</v>
      </c>
      <c r="X2" s="13">
        <v>200.37109375</v>
      </c>
      <c r="Y2" s="13" t="s">
        <v>110</v>
      </c>
      <c r="Z2" s="14">
        <v>0.90433981910966155</v>
      </c>
      <c r="AA2" s="14">
        <v>0.84274573181463353</v>
      </c>
      <c r="AB2" s="13" t="s">
        <v>139</v>
      </c>
      <c r="AC2" s="13" t="s">
        <v>140</v>
      </c>
      <c r="AD2" s="15">
        <f t="shared" ref="AD2:AD33" si="0">IF(P2="","",P2-LN(7))</f>
        <v>0.32315166199998679</v>
      </c>
      <c r="AE2" s="15">
        <f t="shared" ref="AE2:AE33" si="1">IF(OR(T2="",S2=""),"",T2-S2)</f>
        <v>1.832916348037969E-2</v>
      </c>
      <c r="AF2" s="15">
        <f>IF(OR(V2="",Seeds!$C$8=""),"",V2-Seeds!$C$8)</f>
        <v>-1.3276588627193719E-2</v>
      </c>
      <c r="AG2" s="15" t="str">
        <f>IF(OR(AF2="",Seeds!$C$10=""),"",IF(ABS(AF2)&gt;Seeds!$C$10,"Có","Không"))</f>
        <v>Không</v>
      </c>
    </row>
    <row r="3" spans="1:33" ht="15" customHeight="1" x14ac:dyDescent="0.3">
      <c r="A3" s="13" t="s">
        <v>141</v>
      </c>
      <c r="B3" s="13" t="s">
        <v>142</v>
      </c>
      <c r="C3" s="13" t="s">
        <v>143</v>
      </c>
      <c r="D3" s="13" t="s">
        <v>133</v>
      </c>
      <c r="E3" s="13" t="s">
        <v>134</v>
      </c>
      <c r="F3" s="13">
        <v>0.1</v>
      </c>
      <c r="G3" s="13">
        <v>0</v>
      </c>
      <c r="H3" s="13">
        <v>512</v>
      </c>
      <c r="I3" s="13">
        <v>20</v>
      </c>
      <c r="J3" s="13" t="s">
        <v>135</v>
      </c>
      <c r="K3" s="13">
        <v>0</v>
      </c>
      <c r="L3" s="13" t="s">
        <v>136</v>
      </c>
      <c r="M3" s="13" t="s">
        <v>144</v>
      </c>
      <c r="N3" s="13" t="s">
        <v>138</v>
      </c>
      <c r="O3" s="13">
        <v>1</v>
      </c>
      <c r="P3" s="14">
        <v>2.2690618110553</v>
      </c>
      <c r="Q3" s="14">
        <v>0.23501236250381249</v>
      </c>
      <c r="R3" s="13">
        <v>18</v>
      </c>
      <c r="S3" s="14">
        <v>0.21843169214248659</v>
      </c>
      <c r="T3" s="14">
        <v>0.23666457396728111</v>
      </c>
      <c r="U3" s="14">
        <v>0.90572491985972758</v>
      </c>
      <c r="V3" s="14">
        <v>0.84572952262907564</v>
      </c>
      <c r="W3" s="13">
        <v>1.794227575150001</v>
      </c>
      <c r="X3" s="13">
        <v>200.3720703125</v>
      </c>
      <c r="Y3" s="13" t="s">
        <v>110</v>
      </c>
      <c r="Z3" s="14"/>
      <c r="AA3" s="14"/>
      <c r="AB3" s="13" t="s">
        <v>145</v>
      </c>
      <c r="AC3" s="13" t="s">
        <v>146</v>
      </c>
      <c r="AD3" s="15">
        <f t="shared" si="0"/>
        <v>0.32315166199998679</v>
      </c>
      <c r="AE3" s="15">
        <f t="shared" si="1"/>
        <v>1.8232881824794517E-2</v>
      </c>
      <c r="AF3" s="15">
        <f>IF(OR(V3="",Seeds!$C$8=""),"",V3-Seeds!$C$8)</f>
        <v>-8.5361325276450684E-3</v>
      </c>
      <c r="AG3" s="15" t="str">
        <f>IF(OR(AF3="",Seeds!$C$10=""),"",IF(ABS(AF3)&gt;Seeds!$C$10,"Có","Không"))</f>
        <v>Không</v>
      </c>
    </row>
    <row r="4" spans="1:33" ht="15" customHeight="1" x14ac:dyDescent="0.3">
      <c r="A4" s="13" t="s">
        <v>147</v>
      </c>
      <c r="B4" s="13" t="s">
        <v>131</v>
      </c>
      <c r="C4" s="13" t="s">
        <v>132</v>
      </c>
      <c r="D4" s="13" t="s">
        <v>133</v>
      </c>
      <c r="E4" s="13" t="s">
        <v>134</v>
      </c>
      <c r="F4" s="13">
        <v>0.01</v>
      </c>
      <c r="G4" s="13">
        <v>0</v>
      </c>
      <c r="H4" s="13">
        <v>512</v>
      </c>
      <c r="I4" s="13">
        <v>20</v>
      </c>
      <c r="J4" s="13" t="s">
        <v>135</v>
      </c>
      <c r="K4" s="13">
        <v>0</v>
      </c>
      <c r="L4" s="13" t="s">
        <v>136</v>
      </c>
      <c r="M4" s="13" t="s">
        <v>137</v>
      </c>
      <c r="N4" s="13" t="s">
        <v>138</v>
      </c>
      <c r="O4" s="13">
        <v>1</v>
      </c>
      <c r="P4" s="14">
        <v>2.2690618110553</v>
      </c>
      <c r="Q4" s="14">
        <v>0.31056249583076018</v>
      </c>
      <c r="R4" s="13">
        <v>20</v>
      </c>
      <c r="S4" s="14">
        <v>0.30309557722091679</v>
      </c>
      <c r="T4" s="14">
        <v>0.31056249583076018</v>
      </c>
      <c r="U4" s="14">
        <v>0.87583098470342724</v>
      </c>
      <c r="V4" s="14">
        <v>0.76152007244817266</v>
      </c>
      <c r="W4" s="13">
        <v>1.3426286190000001</v>
      </c>
      <c r="X4" s="13">
        <v>200.37109375</v>
      </c>
      <c r="Y4" s="13" t="s">
        <v>110</v>
      </c>
      <c r="Z4" s="14"/>
      <c r="AA4" s="14"/>
      <c r="AB4" s="13" t="s">
        <v>148</v>
      </c>
      <c r="AC4" s="13" t="s">
        <v>149</v>
      </c>
      <c r="AD4" s="15">
        <f t="shared" si="0"/>
        <v>0.32315166199998679</v>
      </c>
      <c r="AE4" s="15">
        <f t="shared" si="1"/>
        <v>7.4669186098433871E-3</v>
      </c>
      <c r="AF4" s="15">
        <f>IF(OR(V4="",Seeds!$C$8=""),"",V4-Seeds!$C$8)</f>
        <v>-9.2745582708548047E-2</v>
      </c>
      <c r="AG4" s="15" t="str">
        <f>IF(OR(AF4="",Seeds!$C$10=""),"",IF(ABS(AF4)&gt;Seeds!$C$10,"Có","Không"))</f>
        <v>Có</v>
      </c>
    </row>
    <row r="5" spans="1:33" ht="15" customHeight="1" x14ac:dyDescent="0.3">
      <c r="A5" s="13" t="s">
        <v>150</v>
      </c>
      <c r="B5" s="13" t="s">
        <v>131</v>
      </c>
      <c r="C5" s="13" t="s">
        <v>132</v>
      </c>
      <c r="D5" s="13" t="s">
        <v>133</v>
      </c>
      <c r="E5" s="13" t="s">
        <v>134</v>
      </c>
      <c r="F5" s="13">
        <v>0.03</v>
      </c>
      <c r="G5" s="13">
        <v>0</v>
      </c>
      <c r="H5" s="13">
        <v>512</v>
      </c>
      <c r="I5" s="13">
        <v>20</v>
      </c>
      <c r="J5" s="13" t="s">
        <v>135</v>
      </c>
      <c r="K5" s="13">
        <v>0</v>
      </c>
      <c r="L5" s="13" t="s">
        <v>136</v>
      </c>
      <c r="M5" s="13" t="s">
        <v>137</v>
      </c>
      <c r="N5" s="13" t="s">
        <v>138</v>
      </c>
      <c r="O5" s="13">
        <v>1</v>
      </c>
      <c r="P5" s="14">
        <v>2.2690618110553</v>
      </c>
      <c r="Q5" s="14">
        <v>0.26723986376542669</v>
      </c>
      <c r="R5" s="13">
        <v>18</v>
      </c>
      <c r="S5" s="14">
        <v>0.25371313214302071</v>
      </c>
      <c r="T5" s="14">
        <v>0.26899666206805051</v>
      </c>
      <c r="U5" s="14">
        <v>0.89334351670575074</v>
      </c>
      <c r="V5" s="14">
        <v>0.82403347055750797</v>
      </c>
      <c r="W5" s="13">
        <v>1.3152151915999979</v>
      </c>
      <c r="X5" s="13">
        <v>200.37109375</v>
      </c>
      <c r="Y5" s="13" t="s">
        <v>110</v>
      </c>
      <c r="Z5" s="14"/>
      <c r="AA5" s="14"/>
      <c r="AB5" s="13" t="s">
        <v>151</v>
      </c>
      <c r="AC5" s="13" t="s">
        <v>152</v>
      </c>
      <c r="AD5" s="15">
        <f t="shared" si="0"/>
        <v>0.32315166199998679</v>
      </c>
      <c r="AE5" s="15">
        <f t="shared" si="1"/>
        <v>1.5283529925029793E-2</v>
      </c>
      <c r="AF5" s="15">
        <f>IF(OR(V5="",Seeds!$C$8=""),"",V5-Seeds!$C$8)</f>
        <v>-3.023218459921273E-2</v>
      </c>
      <c r="AG5" s="15" t="str">
        <f>IF(OR(AF5="",Seeds!$C$10=""),"",IF(ABS(AF5)&gt;Seeds!$C$10,"Có","Không"))</f>
        <v>Có</v>
      </c>
    </row>
    <row r="6" spans="1:33" ht="15" customHeight="1" x14ac:dyDescent="0.3">
      <c r="A6" s="13" t="s">
        <v>153</v>
      </c>
      <c r="B6" s="13" t="s">
        <v>131</v>
      </c>
      <c r="C6" s="13" t="s">
        <v>154</v>
      </c>
      <c r="D6" s="13" t="s">
        <v>133</v>
      </c>
      <c r="E6" s="13" t="s">
        <v>134</v>
      </c>
      <c r="F6" s="13">
        <v>0.1</v>
      </c>
      <c r="G6" s="13">
        <v>0</v>
      </c>
      <c r="H6" s="13">
        <v>512</v>
      </c>
      <c r="I6" s="13">
        <v>20</v>
      </c>
      <c r="J6" s="13" t="s">
        <v>135</v>
      </c>
      <c r="K6" s="13">
        <v>0</v>
      </c>
      <c r="L6" s="13" t="s">
        <v>136</v>
      </c>
      <c r="M6" s="13" t="s">
        <v>137</v>
      </c>
      <c r="N6" s="13" t="s">
        <v>138</v>
      </c>
      <c r="O6" s="13">
        <v>2</v>
      </c>
      <c r="P6" s="14">
        <v>1.9781567119120449</v>
      </c>
      <c r="Q6" s="14">
        <v>0.22306970027870771</v>
      </c>
      <c r="R6" s="13">
        <v>20</v>
      </c>
      <c r="S6" s="14">
        <v>0.20424919245243081</v>
      </c>
      <c r="T6" s="14">
        <v>0.22306970027870771</v>
      </c>
      <c r="U6" s="14">
        <v>0.91134011746735222</v>
      </c>
      <c r="V6" s="14">
        <v>0.86394709518929613</v>
      </c>
      <c r="W6" s="13">
        <v>1.292012869949994</v>
      </c>
      <c r="X6" s="13">
        <v>200.37109375</v>
      </c>
      <c r="Y6" s="13" t="s">
        <v>110</v>
      </c>
      <c r="Z6" s="14"/>
      <c r="AA6" s="14"/>
      <c r="AB6" s="13" t="s">
        <v>155</v>
      </c>
      <c r="AC6" s="13" t="s">
        <v>156</v>
      </c>
      <c r="AD6" s="15">
        <f t="shared" si="0"/>
        <v>3.2246562856731664E-2</v>
      </c>
      <c r="AE6" s="15">
        <f t="shared" si="1"/>
        <v>1.8820507826276894E-2</v>
      </c>
      <c r="AF6" s="15">
        <f>IF(OR(V6="",Seeds!$C$8=""),"",V6-Seeds!$C$8)</f>
        <v>9.681440032575428E-3</v>
      </c>
      <c r="AG6" s="15" t="str">
        <f>IF(OR(AF6="",Seeds!$C$10=""),"",IF(ABS(AF6)&gt;Seeds!$C$10,"Có","Không"))</f>
        <v>Không</v>
      </c>
    </row>
    <row r="7" spans="1:33" ht="15" customHeight="1" x14ac:dyDescent="0.3">
      <c r="A7" s="13" t="s">
        <v>157</v>
      </c>
      <c r="B7" s="13" t="s">
        <v>131</v>
      </c>
      <c r="C7" s="13" t="s">
        <v>158</v>
      </c>
      <c r="D7" s="13" t="s">
        <v>133</v>
      </c>
      <c r="E7" s="13" t="s">
        <v>134</v>
      </c>
      <c r="F7" s="13">
        <v>0.1</v>
      </c>
      <c r="G7" s="13">
        <v>0</v>
      </c>
      <c r="H7" s="13">
        <v>512</v>
      </c>
      <c r="I7" s="13">
        <v>20</v>
      </c>
      <c r="J7" s="13" t="s">
        <v>135</v>
      </c>
      <c r="K7" s="13">
        <v>0</v>
      </c>
      <c r="L7" s="13" t="s">
        <v>136</v>
      </c>
      <c r="M7" s="13" t="s">
        <v>137</v>
      </c>
      <c r="N7" s="13" t="s">
        <v>138</v>
      </c>
      <c r="O7" s="13">
        <v>3</v>
      </c>
      <c r="P7" s="14">
        <v>1.900539920392164</v>
      </c>
      <c r="Q7" s="14">
        <v>0.22510028654010061</v>
      </c>
      <c r="R7" s="13">
        <v>20</v>
      </c>
      <c r="S7" s="14">
        <v>0.20476825228691101</v>
      </c>
      <c r="T7" s="14">
        <v>0.22510028654010061</v>
      </c>
      <c r="U7" s="14">
        <v>0.91087756287515331</v>
      </c>
      <c r="V7" s="14">
        <v>0.85786080375133911</v>
      </c>
      <c r="W7" s="13">
        <v>1.367701472150006</v>
      </c>
      <c r="X7" s="13">
        <v>200.37109375</v>
      </c>
      <c r="Y7" s="13" t="s">
        <v>110</v>
      </c>
      <c r="Z7" s="14"/>
      <c r="AA7" s="14"/>
      <c r="AB7" s="13" t="s">
        <v>159</v>
      </c>
      <c r="AC7" s="13" t="s">
        <v>160</v>
      </c>
      <c r="AD7" s="15">
        <f t="shared" si="0"/>
        <v>-4.5370228663149215E-2</v>
      </c>
      <c r="AE7" s="15">
        <f t="shared" si="1"/>
        <v>2.0332034253189607E-2</v>
      </c>
      <c r="AF7" s="15">
        <f>IF(OR(V7="",Seeds!$C$8=""),"",V7-Seeds!$C$8)</f>
        <v>3.5951485946184025E-3</v>
      </c>
      <c r="AG7" s="15" t="str">
        <f>IF(OR(AF7="",Seeds!$C$10=""),"",IF(ABS(AF7)&gt;Seeds!$C$10,"Có","Không"))</f>
        <v>Không</v>
      </c>
    </row>
    <row r="8" spans="1:33" ht="15" customHeight="1" x14ac:dyDescent="0.3">
      <c r="A8" s="13" t="s">
        <v>161</v>
      </c>
      <c r="B8" s="13" t="s">
        <v>162</v>
      </c>
      <c r="C8" s="13" t="s">
        <v>163</v>
      </c>
      <c r="D8" s="13" t="s">
        <v>133</v>
      </c>
      <c r="E8" s="13" t="s">
        <v>134</v>
      </c>
      <c r="F8" s="13">
        <v>0.1</v>
      </c>
      <c r="G8" s="13">
        <v>0</v>
      </c>
      <c r="H8" s="13">
        <v>128</v>
      </c>
      <c r="I8" s="13">
        <v>20</v>
      </c>
      <c r="J8" s="13" t="s">
        <v>135</v>
      </c>
      <c r="K8" s="13">
        <v>0</v>
      </c>
      <c r="L8" s="13" t="s">
        <v>136</v>
      </c>
      <c r="M8" s="13" t="s">
        <v>137</v>
      </c>
      <c r="N8" s="13" t="s">
        <v>138</v>
      </c>
      <c r="O8" s="13">
        <v>1</v>
      </c>
      <c r="P8" s="14">
        <v>2.2690618110553</v>
      </c>
      <c r="Q8" s="14">
        <v>0.2224190964429576</v>
      </c>
      <c r="R8" s="13">
        <v>20</v>
      </c>
      <c r="S8" s="14">
        <v>0.19821996701240541</v>
      </c>
      <c r="T8" s="14">
        <v>0.2224190964429576</v>
      </c>
      <c r="U8" s="14">
        <v>0.91184570039370927</v>
      </c>
      <c r="V8" s="14">
        <v>0.86072003831128086</v>
      </c>
      <c r="W8" s="13">
        <v>5.149168005950008</v>
      </c>
      <c r="X8" s="13">
        <v>200.34375</v>
      </c>
      <c r="Y8" s="13" t="s">
        <v>110</v>
      </c>
      <c r="Z8" s="14">
        <v>0.91091452027916664</v>
      </c>
      <c r="AA8" s="14">
        <v>0.86347293953670967</v>
      </c>
      <c r="AB8" s="13" t="s">
        <v>164</v>
      </c>
      <c r="AC8" s="13" t="s">
        <v>165</v>
      </c>
      <c r="AD8" s="15">
        <f t="shared" si="0"/>
        <v>0.32315166199998679</v>
      </c>
      <c r="AE8" s="15">
        <f t="shared" si="1"/>
        <v>2.4199129430552191E-2</v>
      </c>
      <c r="AF8" s="15">
        <f>IF(OR(V8="",Seeds!$C$8=""),"",V8-Seeds!$C$8)</f>
        <v>6.4543831545601504E-3</v>
      </c>
      <c r="AG8" s="15" t="str">
        <f>IF(OR(AF8="",Seeds!$C$10=""),"",IF(ABS(AF8)&gt;Seeds!$C$10,"Có","Không"))</f>
        <v>Không</v>
      </c>
    </row>
    <row r="9" spans="1:33" ht="15" customHeight="1" x14ac:dyDescent="0.3">
      <c r="A9" s="13" t="s">
        <v>166</v>
      </c>
      <c r="B9" s="13" t="s">
        <v>167</v>
      </c>
      <c r="C9" s="13" t="s">
        <v>168</v>
      </c>
      <c r="D9" s="13" t="s">
        <v>133</v>
      </c>
      <c r="E9" s="13" t="s">
        <v>134</v>
      </c>
      <c r="F9" s="13">
        <v>0.1</v>
      </c>
      <c r="G9" s="13">
        <v>0</v>
      </c>
      <c r="H9" s="13">
        <v>512</v>
      </c>
      <c r="I9" s="13">
        <v>20</v>
      </c>
      <c r="J9" s="13" t="s">
        <v>135</v>
      </c>
      <c r="K9" s="13">
        <v>0</v>
      </c>
      <c r="L9" s="13">
        <v>0.42514619565834039</v>
      </c>
      <c r="M9" s="13" t="s">
        <v>137</v>
      </c>
      <c r="N9" s="13" t="s">
        <v>138</v>
      </c>
      <c r="O9" s="13">
        <v>1</v>
      </c>
      <c r="P9" s="14">
        <v>2.2690618110553</v>
      </c>
      <c r="Q9" s="14">
        <v>0.2449199869372482</v>
      </c>
      <c r="R9" s="13">
        <v>20</v>
      </c>
      <c r="S9" s="14">
        <v>0.22747485513687141</v>
      </c>
      <c r="T9" s="14">
        <v>0.2449199869372482</v>
      </c>
      <c r="U9" s="14">
        <v>0.9010886168541985</v>
      </c>
      <c r="V9" s="14">
        <v>0.84115477818355466</v>
      </c>
      <c r="W9" s="13">
        <v>1.323322561850006</v>
      </c>
      <c r="X9" s="13">
        <v>200.37109375</v>
      </c>
      <c r="Y9" s="13" t="s">
        <v>110</v>
      </c>
      <c r="Z9" s="14"/>
      <c r="AA9" s="14"/>
      <c r="AB9" s="13" t="s">
        <v>169</v>
      </c>
      <c r="AC9" s="13" t="s">
        <v>170</v>
      </c>
      <c r="AD9" s="15">
        <f t="shared" si="0"/>
        <v>0.32315166199998679</v>
      </c>
      <c r="AE9" s="15">
        <f t="shared" si="1"/>
        <v>1.7445131800376795E-2</v>
      </c>
      <c r="AF9" s="15">
        <f>IF(OR(V9="",Seeds!$C$8=""),"",V9-Seeds!$C$8)</f>
        <v>-1.3110876973166041E-2</v>
      </c>
      <c r="AG9" s="15" t="str">
        <f>IF(OR(AF9="",Seeds!$C$10=""),"",IF(ABS(AF9)&gt;Seeds!$C$10,"Có","Không"))</f>
        <v>Không</v>
      </c>
    </row>
    <row r="10" spans="1:33" ht="15" customHeight="1" x14ac:dyDescent="0.3">
      <c r="A10" s="13" t="s">
        <v>171</v>
      </c>
      <c r="B10" s="13" t="s">
        <v>46</v>
      </c>
      <c r="C10" s="13" t="s">
        <v>172</v>
      </c>
      <c r="D10" s="13" t="s">
        <v>133</v>
      </c>
      <c r="E10" s="13" t="s">
        <v>134</v>
      </c>
      <c r="F10" s="13">
        <v>0.1</v>
      </c>
      <c r="G10" s="13">
        <v>0</v>
      </c>
      <c r="H10" s="13">
        <v>512</v>
      </c>
      <c r="I10" s="13">
        <v>20</v>
      </c>
      <c r="J10" s="13" t="s">
        <v>135</v>
      </c>
      <c r="K10" s="13">
        <v>0.3</v>
      </c>
      <c r="L10" s="13" t="s">
        <v>136</v>
      </c>
      <c r="M10" s="13" t="s">
        <v>137</v>
      </c>
      <c r="N10" s="13" t="s">
        <v>138</v>
      </c>
      <c r="O10" s="13">
        <v>1</v>
      </c>
      <c r="P10" s="14">
        <v>2.2690618110553</v>
      </c>
      <c r="Q10" s="14">
        <v>0.31555960875957711</v>
      </c>
      <c r="R10" s="13">
        <v>20</v>
      </c>
      <c r="S10" s="14">
        <v>0.31206200292587277</v>
      </c>
      <c r="T10" s="14">
        <v>0.31555960875957711</v>
      </c>
      <c r="U10" s="14">
        <v>0.87154966545470192</v>
      </c>
      <c r="V10" s="14">
        <v>0.78527395792220678</v>
      </c>
      <c r="W10" s="13">
        <v>1.4657240177499999</v>
      </c>
      <c r="X10" s="13">
        <v>200.37109375</v>
      </c>
      <c r="Y10" s="13" t="s">
        <v>110</v>
      </c>
      <c r="Z10" s="14"/>
      <c r="AA10" s="14"/>
      <c r="AB10" s="13" t="s">
        <v>173</v>
      </c>
      <c r="AC10" s="13" t="s">
        <v>174</v>
      </c>
      <c r="AD10" s="15">
        <f t="shared" si="0"/>
        <v>0.32315166199998679</v>
      </c>
      <c r="AE10" s="15">
        <f t="shared" si="1"/>
        <v>3.4976058337043425E-3</v>
      </c>
      <c r="AF10" s="15">
        <f>IF(OR(V10="",Seeds!$C$8=""),"",V10-Seeds!$C$8)</f>
        <v>-6.8991697234513927E-2</v>
      </c>
      <c r="AG10" s="15" t="str">
        <f>IF(OR(AF10="",Seeds!$C$10=""),"",IF(ABS(AF10)&gt;Seeds!$C$10,"Có","Không"))</f>
        <v>Có</v>
      </c>
    </row>
    <row r="11" spans="1:33" ht="15" customHeight="1" x14ac:dyDescent="0.3">
      <c r="A11" s="13" t="s">
        <v>175</v>
      </c>
      <c r="B11" s="13" t="s">
        <v>167</v>
      </c>
      <c r="C11" s="13" t="s">
        <v>176</v>
      </c>
      <c r="D11" s="13" t="s">
        <v>133</v>
      </c>
      <c r="E11" s="13" t="s">
        <v>134</v>
      </c>
      <c r="F11" s="13">
        <v>1</v>
      </c>
      <c r="G11" s="13">
        <v>0</v>
      </c>
      <c r="H11" s="13">
        <v>512</v>
      </c>
      <c r="I11" s="13">
        <v>20</v>
      </c>
      <c r="J11" s="13" t="s">
        <v>135</v>
      </c>
      <c r="K11" s="13">
        <v>0</v>
      </c>
      <c r="L11" s="13">
        <v>0.42514619565834039</v>
      </c>
      <c r="M11" s="13" t="s">
        <v>137</v>
      </c>
      <c r="N11" s="13" t="s">
        <v>138</v>
      </c>
      <c r="O11" s="13">
        <v>1</v>
      </c>
      <c r="P11" s="14">
        <v>2.2690618110553</v>
      </c>
      <c r="Q11" s="14">
        <v>0.3007477802607938</v>
      </c>
      <c r="R11" s="13">
        <v>19</v>
      </c>
      <c r="S11" s="14">
        <v>0.2842650014591217</v>
      </c>
      <c r="T11" s="14">
        <v>0.3070400196004428</v>
      </c>
      <c r="U11" s="14">
        <v>0.88110195563778748</v>
      </c>
      <c r="V11" s="14">
        <v>0.81743895516475029</v>
      </c>
      <c r="W11" s="13">
        <v>1.3068118118999961</v>
      </c>
      <c r="X11" s="13">
        <v>200.37109375</v>
      </c>
      <c r="Y11" s="13" t="s">
        <v>110</v>
      </c>
      <c r="Z11" s="14"/>
      <c r="AA11" s="14"/>
      <c r="AB11" s="13" t="s">
        <v>177</v>
      </c>
      <c r="AC11" s="13" t="s">
        <v>178</v>
      </c>
      <c r="AD11" s="15">
        <f t="shared" si="0"/>
        <v>0.32315166199998679</v>
      </c>
      <c r="AE11" s="15">
        <f t="shared" si="1"/>
        <v>2.2775018141321102E-2</v>
      </c>
      <c r="AF11" s="15">
        <f>IF(OR(V11="",Seeds!$C$8=""),"",V11-Seeds!$C$8)</f>
        <v>-3.6826699991970413E-2</v>
      </c>
      <c r="AG11" s="15" t="str">
        <f>IF(OR(AF11="",Seeds!$C$10=""),"",IF(ABS(AF11)&gt;Seeds!$C$10,"Có","Không"))</f>
        <v>Có</v>
      </c>
    </row>
    <row r="12" spans="1:33" ht="15" customHeight="1" x14ac:dyDescent="0.3">
      <c r="A12" s="13" t="s">
        <v>179</v>
      </c>
      <c r="B12" s="13" t="s">
        <v>167</v>
      </c>
      <c r="C12" s="13" t="s">
        <v>180</v>
      </c>
      <c r="D12" s="13" t="s">
        <v>133</v>
      </c>
      <c r="E12" s="13" t="s">
        <v>134</v>
      </c>
      <c r="F12" s="13">
        <v>1</v>
      </c>
      <c r="G12" s="13">
        <v>0</v>
      </c>
      <c r="H12" s="13">
        <v>512</v>
      </c>
      <c r="I12" s="13">
        <v>20</v>
      </c>
      <c r="J12" s="13" t="s">
        <v>135</v>
      </c>
      <c r="K12" s="13">
        <v>0</v>
      </c>
      <c r="L12" s="13" t="s">
        <v>136</v>
      </c>
      <c r="M12" s="13" t="s">
        <v>137</v>
      </c>
      <c r="N12" s="13" t="s">
        <v>138</v>
      </c>
      <c r="O12" s="13">
        <v>1</v>
      </c>
      <c r="P12" s="14">
        <v>2.2690618110553</v>
      </c>
      <c r="Q12" s="14">
        <v>0.33077100983151969</v>
      </c>
      <c r="R12" s="13">
        <v>19</v>
      </c>
      <c r="S12" s="14">
        <v>0.34144182025909431</v>
      </c>
      <c r="T12" s="14">
        <v>0.35471128719824141</v>
      </c>
      <c r="U12" s="14">
        <v>0.86950581958219486</v>
      </c>
      <c r="V12" s="14">
        <v>0.78035808115063821</v>
      </c>
      <c r="W12" s="13">
        <v>1.312287393849993</v>
      </c>
      <c r="X12" s="13">
        <v>200.37109375</v>
      </c>
      <c r="Y12" s="13" t="s">
        <v>110</v>
      </c>
      <c r="Z12" s="14"/>
      <c r="AA12" s="14"/>
      <c r="AB12" s="13" t="s">
        <v>181</v>
      </c>
      <c r="AC12" s="13" t="s">
        <v>182</v>
      </c>
      <c r="AD12" s="15">
        <f t="shared" si="0"/>
        <v>0.32315166199998679</v>
      </c>
      <c r="AE12" s="15">
        <f t="shared" si="1"/>
        <v>1.3269466939147101E-2</v>
      </c>
      <c r="AF12" s="15">
        <f>IF(OR(V12="",Seeds!$C$8=""),"",V12-Seeds!$C$8)</f>
        <v>-7.3907574006082499E-2</v>
      </c>
      <c r="AG12" s="15" t="str">
        <f>IF(OR(AF12="",Seeds!$C$10=""),"",IF(ABS(AF12)&gt;Seeds!$C$10,"Có","Không"))</f>
        <v>Có</v>
      </c>
    </row>
    <row r="13" spans="1:33" ht="15" customHeight="1" x14ac:dyDescent="0.3">
      <c r="A13" s="13" t="s">
        <v>183</v>
      </c>
      <c r="B13" s="13" t="s">
        <v>53</v>
      </c>
      <c r="C13" s="13" t="s">
        <v>184</v>
      </c>
      <c r="D13" s="13" t="s">
        <v>133</v>
      </c>
      <c r="E13" s="13" t="s">
        <v>134</v>
      </c>
      <c r="F13" s="13">
        <v>0.1</v>
      </c>
      <c r="G13" s="13">
        <v>0</v>
      </c>
      <c r="H13" s="13">
        <v>512</v>
      </c>
      <c r="I13" s="13">
        <v>20</v>
      </c>
      <c r="J13" s="13" t="s">
        <v>135</v>
      </c>
      <c r="K13" s="13">
        <v>0</v>
      </c>
      <c r="L13" s="13" t="s">
        <v>136</v>
      </c>
      <c r="M13" s="13" t="s">
        <v>137</v>
      </c>
      <c r="N13" s="13" t="s">
        <v>185</v>
      </c>
      <c r="O13" s="13">
        <v>1</v>
      </c>
      <c r="P13" s="14">
        <v>2.0221761869652251</v>
      </c>
      <c r="Q13" s="14">
        <v>0.23993850258455091</v>
      </c>
      <c r="R13" s="13">
        <v>17</v>
      </c>
      <c r="S13" s="14">
        <v>0.22719884490489961</v>
      </c>
      <c r="T13" s="14">
        <v>0.244253551968519</v>
      </c>
      <c r="U13" s="14">
        <v>0.90253006604849295</v>
      </c>
      <c r="V13" s="14">
        <v>0.83737855407088368</v>
      </c>
      <c r="W13" s="13">
        <v>1.286035768850013</v>
      </c>
      <c r="X13" s="13">
        <v>200.37109375</v>
      </c>
      <c r="Y13" s="13" t="s">
        <v>110</v>
      </c>
      <c r="Z13" s="14"/>
      <c r="AA13" s="14"/>
      <c r="AB13" s="13" t="s">
        <v>186</v>
      </c>
      <c r="AC13" s="13" t="s">
        <v>187</v>
      </c>
      <c r="AD13" s="15">
        <f t="shared" si="0"/>
        <v>7.6266037909911821E-2</v>
      </c>
      <c r="AE13" s="15">
        <f t="shared" si="1"/>
        <v>1.705470706361939E-2</v>
      </c>
      <c r="AF13" s="15">
        <f>IF(OR(V13="",Seeds!$C$8=""),"",V13-Seeds!$C$8)</f>
        <v>-1.688710108583702E-2</v>
      </c>
      <c r="AG13" s="15" t="str">
        <f>IF(OR(AF13="",Seeds!$C$10=""),"",IF(ABS(AF13)&gt;Seeds!$C$10,"Có","Không"))</f>
        <v>Không</v>
      </c>
    </row>
    <row r="14" spans="1:33" ht="15" customHeight="1" x14ac:dyDescent="0.3">
      <c r="A14" s="13" t="s">
        <v>188</v>
      </c>
      <c r="B14" s="13" t="s">
        <v>53</v>
      </c>
      <c r="C14" s="13" t="s">
        <v>189</v>
      </c>
      <c r="D14" s="13" t="s">
        <v>133</v>
      </c>
      <c r="E14" s="13" t="s">
        <v>134</v>
      </c>
      <c r="F14" s="13">
        <v>0.1</v>
      </c>
      <c r="G14" s="13">
        <v>0</v>
      </c>
      <c r="H14" s="13">
        <v>512</v>
      </c>
      <c r="I14" s="13">
        <v>20</v>
      </c>
      <c r="J14" s="13" t="s">
        <v>135</v>
      </c>
      <c r="K14" s="13">
        <v>0</v>
      </c>
      <c r="L14" s="13" t="s">
        <v>136</v>
      </c>
      <c r="M14" s="13" t="s">
        <v>137</v>
      </c>
      <c r="N14" s="13" t="s">
        <v>190</v>
      </c>
      <c r="O14" s="13">
        <v>1</v>
      </c>
      <c r="P14" s="14">
        <v>1.945909991577953</v>
      </c>
      <c r="Q14" s="14">
        <v>1.205200764481011</v>
      </c>
      <c r="R14" s="13">
        <v>10</v>
      </c>
      <c r="S14" s="14">
        <v>1.205216485252381</v>
      </c>
      <c r="T14" s="14">
        <v>1.205219247391373</v>
      </c>
      <c r="U14" s="14">
        <v>0.48759708267894408</v>
      </c>
      <c r="V14" s="14">
        <v>9.3649990186254556E-2</v>
      </c>
      <c r="W14" s="13">
        <v>1.2968825995499911</v>
      </c>
      <c r="X14" s="13">
        <v>200.37109375</v>
      </c>
      <c r="Y14" s="13" t="s">
        <v>110</v>
      </c>
      <c r="Z14" s="14"/>
      <c r="AA14" s="14"/>
      <c r="AB14" s="13" t="s">
        <v>191</v>
      </c>
      <c r="AC14" s="13" t="s">
        <v>192</v>
      </c>
      <c r="AD14" s="15">
        <f t="shared" si="0"/>
        <v>-1.5747736026305859E-7</v>
      </c>
      <c r="AE14" s="15">
        <f t="shared" si="1"/>
        <v>2.7621389919740835E-6</v>
      </c>
      <c r="AF14" s="15">
        <f>IF(OR(V14="",Seeds!$C$8=""),"",V14-Seeds!$C$8)</f>
        <v>-0.76061566497046618</v>
      </c>
      <c r="AG14" s="15" t="str">
        <f>IF(OR(AF14="",Seeds!$C$10=""),"",IF(ABS(AF14)&gt;Seeds!$C$10,"Có","Không"))</f>
        <v>Có</v>
      </c>
    </row>
    <row r="15" spans="1:33" ht="15" customHeight="1" x14ac:dyDescent="0.3">
      <c r="A15" s="13" t="s">
        <v>193</v>
      </c>
      <c r="B15" s="13" t="s">
        <v>27</v>
      </c>
      <c r="C15" s="13" t="s">
        <v>194</v>
      </c>
      <c r="D15" s="13" t="s">
        <v>195</v>
      </c>
      <c r="E15" s="13" t="s">
        <v>134</v>
      </c>
      <c r="F15" s="13">
        <v>0.1</v>
      </c>
      <c r="G15" s="13">
        <v>0</v>
      </c>
      <c r="H15" s="13">
        <v>512</v>
      </c>
      <c r="I15" s="13">
        <v>20</v>
      </c>
      <c r="J15" s="13" t="s">
        <v>135</v>
      </c>
      <c r="K15" s="13">
        <v>0</v>
      </c>
      <c r="L15" s="13" t="s">
        <v>136</v>
      </c>
      <c r="M15" s="13" t="s">
        <v>137</v>
      </c>
      <c r="N15" s="13" t="s">
        <v>138</v>
      </c>
      <c r="O15" s="13">
        <v>1</v>
      </c>
      <c r="P15" s="14">
        <v>0.63585035378170573</v>
      </c>
      <c r="Q15" s="14">
        <v>2.9354601041652981E-2</v>
      </c>
      <c r="R15" s="13">
        <v>20</v>
      </c>
      <c r="S15" s="14">
        <v>2.861618598520756E-2</v>
      </c>
      <c r="T15" s="14">
        <v>2.9354601041652981E-2</v>
      </c>
      <c r="U15" s="14">
        <v>0.86989307458961729</v>
      </c>
      <c r="V15" s="14">
        <v>0.72593194293694252</v>
      </c>
      <c r="W15" s="13">
        <v>1.3825532722500009</v>
      </c>
      <c r="X15" s="13">
        <v>200.37451171875</v>
      </c>
      <c r="Y15" s="13" t="s">
        <v>110</v>
      </c>
      <c r="Z15" s="14"/>
      <c r="AA15" s="14"/>
      <c r="AB15" s="13" t="s">
        <v>196</v>
      </c>
      <c r="AC15" s="13" t="s">
        <v>197</v>
      </c>
      <c r="AD15" s="15">
        <f t="shared" si="0"/>
        <v>-1.3100597952736075</v>
      </c>
      <c r="AE15" s="15">
        <f t="shared" si="1"/>
        <v>7.3841505644542046E-4</v>
      </c>
      <c r="AF15" s="15">
        <f>IF(OR(V15="",Seeds!$C$8=""),"",V15-Seeds!$C$8)</f>
        <v>-0.12833371221977818</v>
      </c>
      <c r="AG15" s="15" t="str">
        <f>IF(OR(AF15="",Seeds!$C$10=""),"",IF(ABS(AF15)&gt;Seeds!$C$10,"Có","Không"))</f>
        <v>Có</v>
      </c>
    </row>
    <row r="16" spans="1:33" ht="15" customHeight="1" x14ac:dyDescent="0.3">
      <c r="A16" s="13" t="s">
        <v>198</v>
      </c>
      <c r="B16" s="13" t="s">
        <v>29</v>
      </c>
      <c r="C16" s="13" t="s">
        <v>199</v>
      </c>
      <c r="D16" s="13" t="s">
        <v>133</v>
      </c>
      <c r="E16" s="13" t="s">
        <v>109</v>
      </c>
      <c r="F16" s="13">
        <v>2.9999999999999997E-4</v>
      </c>
      <c r="G16" s="13">
        <v>0</v>
      </c>
      <c r="H16" s="13">
        <v>512</v>
      </c>
      <c r="I16" s="13">
        <v>20</v>
      </c>
      <c r="J16" s="13" t="s">
        <v>135</v>
      </c>
      <c r="K16" s="13">
        <v>0</v>
      </c>
      <c r="L16" s="13" t="s">
        <v>136</v>
      </c>
      <c r="M16" s="13" t="s">
        <v>137</v>
      </c>
      <c r="N16" s="13" t="s">
        <v>138</v>
      </c>
      <c r="O16" s="13">
        <v>1</v>
      </c>
      <c r="P16" s="14">
        <v>2.2690618110553</v>
      </c>
      <c r="Q16" s="14">
        <v>0.31385392552603819</v>
      </c>
      <c r="R16" s="13">
        <v>20</v>
      </c>
      <c r="S16" s="14">
        <v>0.30426038763999941</v>
      </c>
      <c r="T16" s="14">
        <v>0.31385392552603819</v>
      </c>
      <c r="U16" s="14">
        <v>0.87278673006174567</v>
      </c>
      <c r="V16" s="14">
        <v>0.78744464674286352</v>
      </c>
      <c r="W16" s="13">
        <v>1.4690266694499881</v>
      </c>
      <c r="X16" s="13">
        <v>200.55419921875</v>
      </c>
      <c r="Y16" s="13" t="s">
        <v>110</v>
      </c>
      <c r="Z16" s="14"/>
      <c r="AA16" s="14"/>
      <c r="AB16" s="13" t="s">
        <v>200</v>
      </c>
      <c r="AC16" s="13" t="s">
        <v>201</v>
      </c>
      <c r="AD16" s="15">
        <f t="shared" si="0"/>
        <v>0.32315166199998679</v>
      </c>
      <c r="AE16" s="15">
        <f t="shared" si="1"/>
        <v>9.5935378860387832E-3</v>
      </c>
      <c r="AF16" s="15">
        <f>IF(OR(V16="",Seeds!$C$8=""),"",V16-Seeds!$C$8)</f>
        <v>-6.6821008413857186E-2</v>
      </c>
      <c r="AG16" s="15" t="str">
        <f>IF(OR(AF16="",Seeds!$C$10=""),"",IF(ABS(AF16)&gt;Seeds!$C$10,"Có","Không"))</f>
        <v>Có</v>
      </c>
    </row>
    <row r="17" spans="1:33" ht="15" customHeight="1" x14ac:dyDescent="0.3">
      <c r="A17" s="13" t="s">
        <v>202</v>
      </c>
      <c r="B17" s="13" t="s">
        <v>29</v>
      </c>
      <c r="C17" s="13" t="s">
        <v>199</v>
      </c>
      <c r="D17" s="13" t="s">
        <v>133</v>
      </c>
      <c r="E17" s="13" t="s">
        <v>109</v>
      </c>
      <c r="F17" s="13">
        <v>1E-3</v>
      </c>
      <c r="G17" s="13">
        <v>0</v>
      </c>
      <c r="H17" s="13">
        <v>512</v>
      </c>
      <c r="I17" s="13">
        <v>20</v>
      </c>
      <c r="J17" s="13" t="s">
        <v>135</v>
      </c>
      <c r="K17" s="13">
        <v>0</v>
      </c>
      <c r="L17" s="13" t="s">
        <v>136</v>
      </c>
      <c r="M17" s="13" t="s">
        <v>137</v>
      </c>
      <c r="N17" s="13" t="s">
        <v>138</v>
      </c>
      <c r="O17" s="13">
        <v>1</v>
      </c>
      <c r="P17" s="14">
        <v>2.2690618110553</v>
      </c>
      <c r="Q17" s="14">
        <v>0.24720132422925259</v>
      </c>
      <c r="R17" s="13">
        <v>20</v>
      </c>
      <c r="S17" s="14">
        <v>0.22959903674602511</v>
      </c>
      <c r="T17" s="14">
        <v>0.24720132422925259</v>
      </c>
      <c r="U17" s="14">
        <v>0.9013575439426863</v>
      </c>
      <c r="V17" s="14">
        <v>0.84764654110146165</v>
      </c>
      <c r="W17" s="13">
        <v>1.4525498574999971</v>
      </c>
      <c r="X17" s="13">
        <v>200.55419921875</v>
      </c>
      <c r="Y17" s="13" t="s">
        <v>110</v>
      </c>
      <c r="Z17" s="14"/>
      <c r="AA17" s="14"/>
      <c r="AB17" s="13" t="s">
        <v>203</v>
      </c>
      <c r="AC17" s="13" t="s">
        <v>204</v>
      </c>
      <c r="AD17" s="15">
        <f t="shared" si="0"/>
        <v>0.32315166199998679</v>
      </c>
      <c r="AE17" s="15">
        <f t="shared" si="1"/>
        <v>1.760228748322748E-2</v>
      </c>
      <c r="AF17" s="15">
        <f>IF(OR(V17="",Seeds!$C$8=""),"",V17-Seeds!$C$8)</f>
        <v>-6.6191140552590566E-3</v>
      </c>
      <c r="AG17" s="15" t="str">
        <f>IF(OR(AF17="",Seeds!$C$10=""),"",IF(ABS(AF17)&gt;Seeds!$C$10,"Có","Không"))</f>
        <v>Không</v>
      </c>
    </row>
    <row r="18" spans="1:33" ht="15" customHeight="1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4"/>
      <c r="Q18" s="14"/>
      <c r="R18" s="13"/>
      <c r="S18" s="14"/>
      <c r="T18" s="14"/>
      <c r="U18" s="14"/>
      <c r="V18" s="14"/>
      <c r="W18" s="13"/>
      <c r="X18" s="13"/>
      <c r="Y18" s="13"/>
      <c r="Z18" s="14"/>
      <c r="AA18" s="14"/>
      <c r="AB18" s="13"/>
      <c r="AC18" s="13"/>
      <c r="AD18" s="15" t="str">
        <f t="shared" si="0"/>
        <v/>
      </c>
      <c r="AE18" s="15" t="str">
        <f t="shared" si="1"/>
        <v/>
      </c>
      <c r="AF18" s="15" t="str">
        <f>IF(OR(V18="",Seeds!$C$8=""),"",V18-Seeds!$C$8)</f>
        <v/>
      </c>
      <c r="AG18" s="15" t="str">
        <f>IF(OR(AF18="",Seeds!$C$10=""),"",IF(ABS(AF18)&gt;Seeds!$C$10,"Có","Không"))</f>
        <v/>
      </c>
    </row>
    <row r="19" spans="1:33" ht="15" customHeight="1" x14ac:dyDescent="0.3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4"/>
      <c r="Q19" s="14"/>
      <c r="R19" s="13"/>
      <c r="S19" s="14"/>
      <c r="T19" s="14"/>
      <c r="U19" s="14"/>
      <c r="V19" s="14"/>
      <c r="W19" s="13"/>
      <c r="X19" s="13"/>
      <c r="Y19" s="13"/>
      <c r="Z19" s="14"/>
      <c r="AA19" s="14"/>
      <c r="AB19" s="13"/>
      <c r="AC19" s="13"/>
      <c r="AD19" s="15" t="str">
        <f t="shared" si="0"/>
        <v/>
      </c>
      <c r="AE19" s="15" t="str">
        <f t="shared" si="1"/>
        <v/>
      </c>
      <c r="AF19" s="15" t="str">
        <f>IF(OR(V19="",Seeds!$C$8=""),"",V19-Seeds!$C$8)</f>
        <v/>
      </c>
      <c r="AG19" s="15" t="str">
        <f>IF(OR(AF19="",Seeds!$C$10=""),"",IF(ABS(AF19)&gt;Seeds!$C$10,"Có","Không"))</f>
        <v/>
      </c>
    </row>
    <row r="20" spans="1:33" ht="15" customHeight="1" x14ac:dyDescent="0.3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4"/>
      <c r="Q20" s="14"/>
      <c r="R20" s="13"/>
      <c r="S20" s="14"/>
      <c r="T20" s="14"/>
      <c r="U20" s="14"/>
      <c r="V20" s="14"/>
      <c r="W20" s="13"/>
      <c r="X20" s="13"/>
      <c r="Y20" s="13"/>
      <c r="Z20" s="14"/>
      <c r="AA20" s="14"/>
      <c r="AB20" s="13"/>
      <c r="AC20" s="13"/>
      <c r="AD20" s="15" t="str">
        <f t="shared" si="0"/>
        <v/>
      </c>
      <c r="AE20" s="15" t="str">
        <f t="shared" si="1"/>
        <v/>
      </c>
      <c r="AF20" s="15" t="str">
        <f>IF(OR(V20="",Seeds!$C$8=""),"",V20-Seeds!$C$8)</f>
        <v/>
      </c>
      <c r="AG20" s="15" t="str">
        <f>IF(OR(AF20="",Seeds!$C$10=""),"",IF(ABS(AF20)&gt;Seeds!$C$10,"Có","Không"))</f>
        <v/>
      </c>
    </row>
    <row r="21" spans="1:33" ht="15" customHeight="1" x14ac:dyDescent="0.3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/>
      <c r="Q21" s="14"/>
      <c r="R21" s="13"/>
      <c r="S21" s="14"/>
      <c r="T21" s="14"/>
      <c r="U21" s="14"/>
      <c r="V21" s="14"/>
      <c r="W21" s="13"/>
      <c r="X21" s="13"/>
      <c r="Y21" s="13"/>
      <c r="Z21" s="14"/>
      <c r="AA21" s="14"/>
      <c r="AB21" s="13"/>
      <c r="AC21" s="13"/>
      <c r="AD21" s="15" t="str">
        <f t="shared" si="0"/>
        <v/>
      </c>
      <c r="AE21" s="15" t="str">
        <f t="shared" si="1"/>
        <v/>
      </c>
      <c r="AF21" s="15" t="str">
        <f>IF(OR(V21="",Seeds!$C$8=""),"",V21-Seeds!$C$8)</f>
        <v/>
      </c>
      <c r="AG21" s="15" t="str">
        <f>IF(OR(AF21="",Seeds!$C$10=""),"",IF(ABS(AF21)&gt;Seeds!$C$10,"Có","Không"))</f>
        <v/>
      </c>
    </row>
    <row r="22" spans="1:33" ht="15" customHeight="1" x14ac:dyDescent="0.3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4"/>
      <c r="Q22" s="14"/>
      <c r="R22" s="13"/>
      <c r="S22" s="14"/>
      <c r="T22" s="14"/>
      <c r="U22" s="14"/>
      <c r="V22" s="14"/>
      <c r="W22" s="13"/>
      <c r="X22" s="13"/>
      <c r="Y22" s="13"/>
      <c r="Z22" s="14"/>
      <c r="AA22" s="14"/>
      <c r="AB22" s="13"/>
      <c r="AC22" s="13"/>
      <c r="AD22" s="15" t="str">
        <f t="shared" si="0"/>
        <v/>
      </c>
      <c r="AE22" s="15" t="str">
        <f t="shared" si="1"/>
        <v/>
      </c>
      <c r="AF22" s="15" t="str">
        <f>IF(OR(V22="",Seeds!$C$8=""),"",V22-Seeds!$C$8)</f>
        <v/>
      </c>
      <c r="AG22" s="15" t="str">
        <f>IF(OR(AF22="",Seeds!$C$10=""),"",IF(ABS(AF22)&gt;Seeds!$C$10,"Có","Không"))</f>
        <v/>
      </c>
    </row>
    <row r="23" spans="1:33" ht="15" customHeight="1" x14ac:dyDescent="0.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4"/>
      <c r="Q23" s="14"/>
      <c r="R23" s="13"/>
      <c r="S23" s="14"/>
      <c r="T23" s="14"/>
      <c r="U23" s="14"/>
      <c r="V23" s="14"/>
      <c r="W23" s="13"/>
      <c r="X23" s="13"/>
      <c r="Y23" s="13"/>
      <c r="Z23" s="14"/>
      <c r="AA23" s="14"/>
      <c r="AB23" s="13"/>
      <c r="AC23" s="13"/>
      <c r="AD23" s="15" t="str">
        <f t="shared" si="0"/>
        <v/>
      </c>
      <c r="AE23" s="15" t="str">
        <f t="shared" si="1"/>
        <v/>
      </c>
      <c r="AF23" s="15" t="str">
        <f>IF(OR(V23="",Seeds!$C$8=""),"",V23-Seeds!$C$8)</f>
        <v/>
      </c>
      <c r="AG23" s="15" t="str">
        <f>IF(OR(AF23="",Seeds!$C$10=""),"",IF(ABS(AF23)&gt;Seeds!$C$10,"Có","Không"))</f>
        <v/>
      </c>
    </row>
    <row r="24" spans="1:33" ht="15" customHeight="1" x14ac:dyDescent="0.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4"/>
      <c r="Q24" s="14"/>
      <c r="R24" s="13"/>
      <c r="S24" s="14"/>
      <c r="T24" s="14"/>
      <c r="U24" s="14"/>
      <c r="V24" s="14"/>
      <c r="W24" s="13"/>
      <c r="X24" s="13"/>
      <c r="Y24" s="13"/>
      <c r="Z24" s="14"/>
      <c r="AA24" s="14"/>
      <c r="AB24" s="13"/>
      <c r="AC24" s="13"/>
      <c r="AD24" s="15" t="str">
        <f t="shared" si="0"/>
        <v/>
      </c>
      <c r="AE24" s="15" t="str">
        <f t="shared" si="1"/>
        <v/>
      </c>
      <c r="AF24" s="15" t="str">
        <f>IF(OR(V24="",Seeds!$C$8=""),"",V24-Seeds!$C$8)</f>
        <v/>
      </c>
      <c r="AG24" s="15" t="str">
        <f>IF(OR(AF24="",Seeds!$C$10=""),"",IF(ABS(AF24)&gt;Seeds!$C$10,"Có","Không"))</f>
        <v/>
      </c>
    </row>
    <row r="25" spans="1:33" ht="15" customHeight="1" x14ac:dyDescent="0.3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4"/>
      <c r="Q25" s="14"/>
      <c r="R25" s="13"/>
      <c r="S25" s="14"/>
      <c r="T25" s="14"/>
      <c r="U25" s="14"/>
      <c r="V25" s="14"/>
      <c r="W25" s="13"/>
      <c r="X25" s="13"/>
      <c r="Y25" s="13"/>
      <c r="Z25" s="14"/>
      <c r="AA25" s="14"/>
      <c r="AB25" s="13"/>
      <c r="AC25" s="13"/>
      <c r="AD25" s="15" t="str">
        <f t="shared" si="0"/>
        <v/>
      </c>
      <c r="AE25" s="15" t="str">
        <f t="shared" si="1"/>
        <v/>
      </c>
      <c r="AF25" s="15" t="str">
        <f>IF(OR(V25="",Seeds!$C$8=""),"",V25-Seeds!$C$8)</f>
        <v/>
      </c>
      <c r="AG25" s="15" t="str">
        <f>IF(OR(AF25="",Seeds!$C$10=""),"",IF(ABS(AF25)&gt;Seeds!$C$10,"Có","Không"))</f>
        <v/>
      </c>
    </row>
    <row r="26" spans="1:33" ht="15" customHeight="1" x14ac:dyDescent="0.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  <c r="Q26" s="14"/>
      <c r="R26" s="13"/>
      <c r="S26" s="14"/>
      <c r="T26" s="14"/>
      <c r="U26" s="14"/>
      <c r="V26" s="14"/>
      <c r="W26" s="13"/>
      <c r="X26" s="13"/>
      <c r="Y26" s="13"/>
      <c r="Z26" s="14"/>
      <c r="AA26" s="14"/>
      <c r="AB26" s="13"/>
      <c r="AC26" s="13"/>
      <c r="AD26" s="15" t="str">
        <f t="shared" si="0"/>
        <v/>
      </c>
      <c r="AE26" s="15" t="str">
        <f t="shared" si="1"/>
        <v/>
      </c>
      <c r="AF26" s="15" t="str">
        <f>IF(OR(V26="",Seeds!$C$8=""),"",V26-Seeds!$C$8)</f>
        <v/>
      </c>
      <c r="AG26" s="15" t="str">
        <f>IF(OR(AF26="",Seeds!$C$10=""),"",IF(ABS(AF26)&gt;Seeds!$C$10,"Có","Không"))</f>
        <v/>
      </c>
    </row>
    <row r="27" spans="1:33" ht="15" customHeight="1" x14ac:dyDescent="0.3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14"/>
      <c r="R27" s="13"/>
      <c r="S27" s="14"/>
      <c r="T27" s="14"/>
      <c r="U27" s="14"/>
      <c r="V27" s="14"/>
      <c r="W27" s="13"/>
      <c r="X27" s="13"/>
      <c r="Y27" s="13"/>
      <c r="Z27" s="14"/>
      <c r="AA27" s="14"/>
      <c r="AB27" s="13"/>
      <c r="AC27" s="13"/>
      <c r="AD27" s="15" t="str">
        <f t="shared" si="0"/>
        <v/>
      </c>
      <c r="AE27" s="15" t="str">
        <f t="shared" si="1"/>
        <v/>
      </c>
      <c r="AF27" s="15" t="str">
        <f>IF(OR(V27="",Seeds!$C$8=""),"",V27-Seeds!$C$8)</f>
        <v/>
      </c>
      <c r="AG27" s="15" t="str">
        <f>IF(OR(AF27="",Seeds!$C$10=""),"",IF(ABS(AF27)&gt;Seeds!$C$10,"Có","Không"))</f>
        <v/>
      </c>
    </row>
    <row r="28" spans="1:33" ht="15" customHeight="1" x14ac:dyDescent="0.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14"/>
      <c r="R28" s="13"/>
      <c r="S28" s="14"/>
      <c r="T28" s="14"/>
      <c r="U28" s="14"/>
      <c r="V28" s="14"/>
      <c r="W28" s="13"/>
      <c r="X28" s="13"/>
      <c r="Y28" s="13"/>
      <c r="Z28" s="14"/>
      <c r="AA28" s="14"/>
      <c r="AB28" s="13"/>
      <c r="AC28" s="13"/>
      <c r="AD28" s="15" t="str">
        <f t="shared" si="0"/>
        <v/>
      </c>
      <c r="AE28" s="15" t="str">
        <f t="shared" si="1"/>
        <v/>
      </c>
      <c r="AF28" s="15" t="str">
        <f>IF(OR(V28="",Seeds!$C$8=""),"",V28-Seeds!$C$8)</f>
        <v/>
      </c>
      <c r="AG28" s="15" t="str">
        <f>IF(OR(AF28="",Seeds!$C$10=""),"",IF(ABS(AF28)&gt;Seeds!$C$10,"Có","Không"))</f>
        <v/>
      </c>
    </row>
    <row r="29" spans="1:33" ht="15" customHeight="1" x14ac:dyDescent="0.3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4"/>
      <c r="Q29" s="14"/>
      <c r="R29" s="13"/>
      <c r="S29" s="14"/>
      <c r="T29" s="14"/>
      <c r="U29" s="14"/>
      <c r="V29" s="14"/>
      <c r="W29" s="13"/>
      <c r="X29" s="13"/>
      <c r="Y29" s="13"/>
      <c r="Z29" s="14"/>
      <c r="AA29" s="14"/>
      <c r="AB29" s="13"/>
      <c r="AC29" s="13"/>
      <c r="AD29" s="15" t="str">
        <f t="shared" si="0"/>
        <v/>
      </c>
      <c r="AE29" s="15" t="str">
        <f t="shared" si="1"/>
        <v/>
      </c>
      <c r="AF29" s="15" t="str">
        <f>IF(OR(V29="",Seeds!$C$8=""),"",V29-Seeds!$C$8)</f>
        <v/>
      </c>
      <c r="AG29" s="15" t="str">
        <f>IF(OR(AF29="",Seeds!$C$10=""),"",IF(ABS(AF29)&gt;Seeds!$C$10,"Có","Không"))</f>
        <v/>
      </c>
    </row>
    <row r="30" spans="1:33" ht="15" customHeight="1" x14ac:dyDescent="0.3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4"/>
      <c r="Q30" s="14"/>
      <c r="R30" s="13"/>
      <c r="S30" s="14"/>
      <c r="T30" s="14"/>
      <c r="U30" s="14"/>
      <c r="V30" s="14"/>
      <c r="W30" s="13"/>
      <c r="X30" s="13"/>
      <c r="Y30" s="13"/>
      <c r="Z30" s="14"/>
      <c r="AA30" s="14"/>
      <c r="AB30" s="13"/>
      <c r="AC30" s="13"/>
      <c r="AD30" s="15" t="str">
        <f t="shared" si="0"/>
        <v/>
      </c>
      <c r="AE30" s="15" t="str">
        <f t="shared" si="1"/>
        <v/>
      </c>
      <c r="AF30" s="15" t="str">
        <f>IF(OR(V30="",Seeds!$C$8=""),"",V30-Seeds!$C$8)</f>
        <v/>
      </c>
      <c r="AG30" s="15" t="str">
        <f>IF(OR(AF30="",Seeds!$C$10=""),"",IF(ABS(AF30)&gt;Seeds!$C$10,"Có","Không"))</f>
        <v/>
      </c>
    </row>
    <row r="31" spans="1:33" ht="15" customHeight="1" x14ac:dyDescent="0.3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4"/>
      <c r="Q31" s="14"/>
      <c r="R31" s="13"/>
      <c r="S31" s="14"/>
      <c r="T31" s="14"/>
      <c r="U31" s="14"/>
      <c r="V31" s="14"/>
      <c r="W31" s="13"/>
      <c r="X31" s="13"/>
      <c r="Y31" s="13"/>
      <c r="Z31" s="14"/>
      <c r="AA31" s="14"/>
      <c r="AB31" s="13"/>
      <c r="AC31" s="13"/>
      <c r="AD31" s="15" t="str">
        <f t="shared" si="0"/>
        <v/>
      </c>
      <c r="AE31" s="15" t="str">
        <f t="shared" si="1"/>
        <v/>
      </c>
      <c r="AF31" s="15" t="str">
        <f>IF(OR(V31="",Seeds!$C$8=""),"",V31-Seeds!$C$8)</f>
        <v/>
      </c>
      <c r="AG31" s="15" t="str">
        <f>IF(OR(AF31="",Seeds!$C$10=""),"",IF(ABS(AF31)&gt;Seeds!$C$10,"Có","Không"))</f>
        <v/>
      </c>
    </row>
    <row r="32" spans="1:33" ht="15" customHeight="1" x14ac:dyDescent="0.3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4"/>
      <c r="Q32" s="14"/>
      <c r="R32" s="13"/>
      <c r="S32" s="14"/>
      <c r="T32" s="14"/>
      <c r="U32" s="14"/>
      <c r="V32" s="14"/>
      <c r="W32" s="13"/>
      <c r="X32" s="13"/>
      <c r="Y32" s="13"/>
      <c r="Z32" s="14"/>
      <c r="AA32" s="14"/>
      <c r="AB32" s="13"/>
      <c r="AC32" s="13"/>
      <c r="AD32" s="15" t="str">
        <f t="shared" si="0"/>
        <v/>
      </c>
      <c r="AE32" s="15" t="str">
        <f t="shared" si="1"/>
        <v/>
      </c>
      <c r="AF32" s="15" t="str">
        <f>IF(OR(V32="",Seeds!$C$8=""),"",V32-Seeds!$C$8)</f>
        <v/>
      </c>
      <c r="AG32" s="15" t="str">
        <f>IF(OR(AF32="",Seeds!$C$10=""),"",IF(ABS(AF32)&gt;Seeds!$C$10,"Có","Không"))</f>
        <v/>
      </c>
    </row>
    <row r="33" spans="1:33" ht="15" customHeight="1" x14ac:dyDescent="0.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4"/>
      <c r="Q33" s="14"/>
      <c r="R33" s="13"/>
      <c r="S33" s="14"/>
      <c r="T33" s="14"/>
      <c r="U33" s="14"/>
      <c r="V33" s="14"/>
      <c r="W33" s="13"/>
      <c r="X33" s="13"/>
      <c r="Y33" s="13"/>
      <c r="Z33" s="14"/>
      <c r="AA33" s="14"/>
      <c r="AB33" s="13"/>
      <c r="AC33" s="13"/>
      <c r="AD33" s="15" t="str">
        <f t="shared" si="0"/>
        <v/>
      </c>
      <c r="AE33" s="15" t="str">
        <f t="shared" si="1"/>
        <v/>
      </c>
      <c r="AF33" s="15" t="str">
        <f>IF(OR(V33="",Seeds!$C$8=""),"",V33-Seeds!$C$8)</f>
        <v/>
      </c>
      <c r="AG33" s="15" t="str">
        <f>IF(OR(AF33="",Seeds!$C$10=""),"",IF(ABS(AF33)&gt;Seeds!$C$10,"Có","Không"))</f>
        <v/>
      </c>
    </row>
    <row r="34" spans="1:33" ht="15" customHeight="1" x14ac:dyDescent="0.3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4"/>
      <c r="Q34" s="14"/>
      <c r="R34" s="13"/>
      <c r="S34" s="14"/>
      <c r="T34" s="14"/>
      <c r="U34" s="14"/>
      <c r="V34" s="14"/>
      <c r="W34" s="13"/>
      <c r="X34" s="13"/>
      <c r="Y34" s="13"/>
      <c r="Z34" s="14"/>
      <c r="AA34" s="14"/>
      <c r="AB34" s="13"/>
      <c r="AC34" s="13"/>
      <c r="AD34" s="15" t="str">
        <f t="shared" ref="AD34:AD61" si="2">IF(P34="","",P34-LN(7))</f>
        <v/>
      </c>
      <c r="AE34" s="15" t="str">
        <f t="shared" ref="AE34:AE61" si="3">IF(OR(T34="",S34=""),"",T34-S34)</f>
        <v/>
      </c>
      <c r="AF34" s="15" t="str">
        <f>IF(OR(V34="",Seeds!$C$8=""),"",V34-Seeds!$C$8)</f>
        <v/>
      </c>
      <c r="AG34" s="15" t="str">
        <f>IF(OR(AF34="",Seeds!$C$10=""),"",IF(ABS(AF34)&gt;Seeds!$C$10,"Có","Không"))</f>
        <v/>
      </c>
    </row>
    <row r="35" spans="1:33" ht="15" customHeight="1" x14ac:dyDescent="0.3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4"/>
      <c r="Q35" s="14"/>
      <c r="R35" s="13"/>
      <c r="S35" s="14"/>
      <c r="T35" s="14"/>
      <c r="U35" s="14"/>
      <c r="V35" s="14"/>
      <c r="W35" s="13"/>
      <c r="X35" s="13"/>
      <c r="Y35" s="13"/>
      <c r="Z35" s="14"/>
      <c r="AA35" s="14"/>
      <c r="AB35" s="13"/>
      <c r="AC35" s="13"/>
      <c r="AD35" s="15" t="str">
        <f t="shared" si="2"/>
        <v/>
      </c>
      <c r="AE35" s="15" t="str">
        <f t="shared" si="3"/>
        <v/>
      </c>
      <c r="AF35" s="15" t="str">
        <f>IF(OR(V35="",Seeds!$C$8=""),"",V35-Seeds!$C$8)</f>
        <v/>
      </c>
      <c r="AG35" s="15" t="str">
        <f>IF(OR(AF35="",Seeds!$C$10=""),"",IF(ABS(AF35)&gt;Seeds!$C$10,"Có","Không"))</f>
        <v/>
      </c>
    </row>
    <row r="36" spans="1:33" ht="15" customHeight="1" x14ac:dyDescent="0.3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4"/>
      <c r="Q36" s="14"/>
      <c r="R36" s="13"/>
      <c r="S36" s="14"/>
      <c r="T36" s="14"/>
      <c r="U36" s="14"/>
      <c r="V36" s="14"/>
      <c r="W36" s="13"/>
      <c r="X36" s="13"/>
      <c r="Y36" s="13"/>
      <c r="Z36" s="14"/>
      <c r="AA36" s="14"/>
      <c r="AB36" s="13"/>
      <c r="AC36" s="13"/>
      <c r="AD36" s="15" t="str">
        <f t="shared" si="2"/>
        <v/>
      </c>
      <c r="AE36" s="15" t="str">
        <f t="shared" si="3"/>
        <v/>
      </c>
      <c r="AF36" s="15" t="str">
        <f>IF(OR(V36="",Seeds!$C$8=""),"",V36-Seeds!$C$8)</f>
        <v/>
      </c>
      <c r="AG36" s="15" t="str">
        <f>IF(OR(AF36="",Seeds!$C$10=""),"",IF(ABS(AF36)&gt;Seeds!$C$10,"Có","Không"))</f>
        <v/>
      </c>
    </row>
    <row r="37" spans="1:33" ht="15" customHeight="1" x14ac:dyDescent="0.3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4"/>
      <c r="Q37" s="14"/>
      <c r="R37" s="13"/>
      <c r="S37" s="14"/>
      <c r="T37" s="14"/>
      <c r="U37" s="14"/>
      <c r="V37" s="14"/>
      <c r="W37" s="13"/>
      <c r="X37" s="13"/>
      <c r="Y37" s="13"/>
      <c r="Z37" s="14"/>
      <c r="AA37" s="14"/>
      <c r="AB37" s="13"/>
      <c r="AC37" s="13"/>
      <c r="AD37" s="15" t="str">
        <f t="shared" si="2"/>
        <v/>
      </c>
      <c r="AE37" s="15" t="str">
        <f t="shared" si="3"/>
        <v/>
      </c>
      <c r="AF37" s="15" t="str">
        <f>IF(OR(V37="",Seeds!$C$8=""),"",V37-Seeds!$C$8)</f>
        <v/>
      </c>
      <c r="AG37" s="15" t="str">
        <f>IF(OR(AF37="",Seeds!$C$10=""),"",IF(ABS(AF37)&gt;Seeds!$C$10,"Có","Không"))</f>
        <v/>
      </c>
    </row>
    <row r="38" spans="1:33" ht="15" customHeight="1" x14ac:dyDescent="0.3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4"/>
      <c r="Q38" s="14"/>
      <c r="R38" s="13"/>
      <c r="S38" s="14"/>
      <c r="T38" s="14"/>
      <c r="U38" s="14"/>
      <c r="V38" s="14"/>
      <c r="W38" s="13"/>
      <c r="X38" s="13"/>
      <c r="Y38" s="13"/>
      <c r="Z38" s="14"/>
      <c r="AA38" s="14"/>
      <c r="AB38" s="13"/>
      <c r="AC38" s="13"/>
      <c r="AD38" s="15" t="str">
        <f t="shared" si="2"/>
        <v/>
      </c>
      <c r="AE38" s="15" t="str">
        <f t="shared" si="3"/>
        <v/>
      </c>
      <c r="AF38" s="15" t="str">
        <f>IF(OR(V38="",Seeds!$C$8=""),"",V38-Seeds!$C$8)</f>
        <v/>
      </c>
      <c r="AG38" s="15" t="str">
        <f>IF(OR(AF38="",Seeds!$C$10=""),"",IF(ABS(AF38)&gt;Seeds!$C$10,"Có","Không"))</f>
        <v/>
      </c>
    </row>
    <row r="39" spans="1:33" ht="15" customHeight="1" x14ac:dyDescent="0.3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4"/>
      <c r="Q39" s="14"/>
      <c r="R39" s="13"/>
      <c r="S39" s="14"/>
      <c r="T39" s="14"/>
      <c r="U39" s="14"/>
      <c r="V39" s="14"/>
      <c r="W39" s="13"/>
      <c r="X39" s="13"/>
      <c r="Y39" s="13"/>
      <c r="Z39" s="14"/>
      <c r="AA39" s="14"/>
      <c r="AB39" s="13"/>
      <c r="AC39" s="13"/>
      <c r="AD39" s="15" t="str">
        <f t="shared" si="2"/>
        <v/>
      </c>
      <c r="AE39" s="15" t="str">
        <f t="shared" si="3"/>
        <v/>
      </c>
      <c r="AF39" s="15" t="str">
        <f>IF(OR(V39="",Seeds!$C$8=""),"",V39-Seeds!$C$8)</f>
        <v/>
      </c>
      <c r="AG39" s="15" t="str">
        <f>IF(OR(AF39="",Seeds!$C$10=""),"",IF(ABS(AF39)&gt;Seeds!$C$10,"Có","Không"))</f>
        <v/>
      </c>
    </row>
    <row r="40" spans="1:33" ht="15" customHeight="1" x14ac:dyDescent="0.3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4"/>
      <c r="Q40" s="14"/>
      <c r="R40" s="13"/>
      <c r="S40" s="14"/>
      <c r="T40" s="14"/>
      <c r="U40" s="14"/>
      <c r="V40" s="14"/>
      <c r="W40" s="13"/>
      <c r="X40" s="13"/>
      <c r="Y40" s="13"/>
      <c r="Z40" s="14"/>
      <c r="AA40" s="14"/>
      <c r="AB40" s="13"/>
      <c r="AC40" s="13"/>
      <c r="AD40" s="15" t="str">
        <f t="shared" si="2"/>
        <v/>
      </c>
      <c r="AE40" s="15" t="str">
        <f t="shared" si="3"/>
        <v/>
      </c>
      <c r="AF40" s="15" t="str">
        <f>IF(OR(V40="",Seeds!$C$8=""),"",V40-Seeds!$C$8)</f>
        <v/>
      </c>
      <c r="AG40" s="15" t="str">
        <f>IF(OR(AF40="",Seeds!$C$10=""),"",IF(ABS(AF40)&gt;Seeds!$C$10,"Có","Không"))</f>
        <v/>
      </c>
    </row>
    <row r="41" spans="1:33" ht="15" customHeight="1" x14ac:dyDescent="0.3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4"/>
      <c r="Q41" s="14"/>
      <c r="R41" s="13"/>
      <c r="S41" s="14"/>
      <c r="T41" s="14"/>
      <c r="U41" s="14"/>
      <c r="V41" s="14"/>
      <c r="W41" s="13"/>
      <c r="X41" s="13"/>
      <c r="Y41" s="13"/>
      <c r="Z41" s="14"/>
      <c r="AA41" s="14"/>
      <c r="AB41" s="13"/>
      <c r="AC41" s="13"/>
      <c r="AD41" s="15" t="str">
        <f t="shared" si="2"/>
        <v/>
      </c>
      <c r="AE41" s="15" t="str">
        <f t="shared" si="3"/>
        <v/>
      </c>
      <c r="AF41" s="15" t="str">
        <f>IF(OR(V41="",Seeds!$C$8=""),"",V41-Seeds!$C$8)</f>
        <v/>
      </c>
      <c r="AG41" s="15" t="str">
        <f>IF(OR(AF41="",Seeds!$C$10=""),"",IF(ABS(AF41)&gt;Seeds!$C$10,"Có","Không"))</f>
        <v/>
      </c>
    </row>
    <row r="42" spans="1:33" ht="15" customHeight="1" x14ac:dyDescent="0.3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4"/>
      <c r="Q42" s="14"/>
      <c r="R42" s="13"/>
      <c r="S42" s="14"/>
      <c r="T42" s="14"/>
      <c r="U42" s="14"/>
      <c r="V42" s="14"/>
      <c r="W42" s="13"/>
      <c r="X42" s="13"/>
      <c r="Y42" s="13"/>
      <c r="Z42" s="14"/>
      <c r="AA42" s="14"/>
      <c r="AB42" s="13"/>
      <c r="AC42" s="13"/>
      <c r="AD42" s="15" t="str">
        <f t="shared" si="2"/>
        <v/>
      </c>
      <c r="AE42" s="15" t="str">
        <f t="shared" si="3"/>
        <v/>
      </c>
      <c r="AF42" s="15" t="str">
        <f>IF(OR(V42="",Seeds!$C$8=""),"",V42-Seeds!$C$8)</f>
        <v/>
      </c>
      <c r="AG42" s="15" t="str">
        <f>IF(OR(AF42="",Seeds!$C$10=""),"",IF(ABS(AF42)&gt;Seeds!$C$10,"Có","Không"))</f>
        <v/>
      </c>
    </row>
    <row r="43" spans="1:33" ht="15" customHeight="1" x14ac:dyDescent="0.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4"/>
      <c r="Q43" s="14"/>
      <c r="R43" s="13"/>
      <c r="S43" s="14"/>
      <c r="T43" s="14"/>
      <c r="U43" s="14"/>
      <c r="V43" s="14"/>
      <c r="W43" s="13"/>
      <c r="X43" s="13"/>
      <c r="Y43" s="13"/>
      <c r="Z43" s="14"/>
      <c r="AA43" s="14"/>
      <c r="AB43" s="13"/>
      <c r="AC43" s="13"/>
      <c r="AD43" s="15" t="str">
        <f t="shared" si="2"/>
        <v/>
      </c>
      <c r="AE43" s="15" t="str">
        <f t="shared" si="3"/>
        <v/>
      </c>
      <c r="AF43" s="15" t="str">
        <f>IF(OR(V43="",Seeds!$C$8=""),"",V43-Seeds!$C$8)</f>
        <v/>
      </c>
      <c r="AG43" s="15" t="str">
        <f>IF(OR(AF43="",Seeds!$C$10=""),"",IF(ABS(AF43)&gt;Seeds!$C$10,"Có","Không"))</f>
        <v/>
      </c>
    </row>
    <row r="44" spans="1:33" ht="15" customHeight="1" x14ac:dyDescent="0.3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4"/>
      <c r="Q44" s="14"/>
      <c r="R44" s="13"/>
      <c r="S44" s="14"/>
      <c r="T44" s="14"/>
      <c r="U44" s="14"/>
      <c r="V44" s="14"/>
      <c r="W44" s="13"/>
      <c r="X44" s="13"/>
      <c r="Y44" s="13"/>
      <c r="Z44" s="14"/>
      <c r="AA44" s="14"/>
      <c r="AB44" s="13"/>
      <c r="AC44" s="13"/>
      <c r="AD44" s="15" t="str">
        <f t="shared" si="2"/>
        <v/>
      </c>
      <c r="AE44" s="15" t="str">
        <f t="shared" si="3"/>
        <v/>
      </c>
      <c r="AF44" s="15" t="str">
        <f>IF(OR(V44="",Seeds!$C$8=""),"",V44-Seeds!$C$8)</f>
        <v/>
      </c>
      <c r="AG44" s="15" t="str">
        <f>IF(OR(AF44="",Seeds!$C$10=""),"",IF(ABS(AF44)&gt;Seeds!$C$10,"Có","Không"))</f>
        <v/>
      </c>
    </row>
    <row r="45" spans="1:33" ht="15" customHeight="1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4"/>
      <c r="Q45" s="14"/>
      <c r="R45" s="13"/>
      <c r="S45" s="14"/>
      <c r="T45" s="14"/>
      <c r="U45" s="14"/>
      <c r="V45" s="14"/>
      <c r="W45" s="13"/>
      <c r="X45" s="13"/>
      <c r="Y45" s="13"/>
      <c r="Z45" s="14"/>
      <c r="AA45" s="14"/>
      <c r="AB45" s="13"/>
      <c r="AC45" s="13"/>
      <c r="AD45" s="15" t="str">
        <f t="shared" si="2"/>
        <v/>
      </c>
      <c r="AE45" s="15" t="str">
        <f t="shared" si="3"/>
        <v/>
      </c>
      <c r="AF45" s="15" t="str">
        <f>IF(OR(V45="",Seeds!$C$8=""),"",V45-Seeds!$C$8)</f>
        <v/>
      </c>
      <c r="AG45" s="15" t="str">
        <f>IF(OR(AF45="",Seeds!$C$10=""),"",IF(ABS(AF45)&gt;Seeds!$C$10,"Có","Không"))</f>
        <v/>
      </c>
    </row>
    <row r="46" spans="1:33" ht="15" customHeight="1" x14ac:dyDescent="0.3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4"/>
      <c r="Q46" s="14"/>
      <c r="R46" s="13"/>
      <c r="S46" s="14"/>
      <c r="T46" s="14"/>
      <c r="U46" s="14"/>
      <c r="V46" s="14"/>
      <c r="W46" s="13"/>
      <c r="X46" s="13"/>
      <c r="Y46" s="13"/>
      <c r="Z46" s="14"/>
      <c r="AA46" s="14"/>
      <c r="AB46" s="13"/>
      <c r="AC46" s="13"/>
      <c r="AD46" s="15" t="str">
        <f t="shared" si="2"/>
        <v/>
      </c>
      <c r="AE46" s="15" t="str">
        <f t="shared" si="3"/>
        <v/>
      </c>
      <c r="AF46" s="15" t="str">
        <f>IF(OR(V46="",Seeds!$C$8=""),"",V46-Seeds!$C$8)</f>
        <v/>
      </c>
      <c r="AG46" s="15" t="str">
        <f>IF(OR(AF46="",Seeds!$C$10=""),"",IF(ABS(AF46)&gt;Seeds!$C$10,"Có","Không"))</f>
        <v/>
      </c>
    </row>
    <row r="47" spans="1:33" ht="15" customHeight="1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4"/>
      <c r="Q47" s="14"/>
      <c r="R47" s="13"/>
      <c r="S47" s="14"/>
      <c r="T47" s="14"/>
      <c r="U47" s="14"/>
      <c r="V47" s="14"/>
      <c r="W47" s="13"/>
      <c r="X47" s="13"/>
      <c r="Y47" s="13"/>
      <c r="Z47" s="14"/>
      <c r="AA47" s="14"/>
      <c r="AB47" s="13"/>
      <c r="AC47" s="13"/>
      <c r="AD47" s="15" t="str">
        <f t="shared" si="2"/>
        <v/>
      </c>
      <c r="AE47" s="15" t="str">
        <f t="shared" si="3"/>
        <v/>
      </c>
      <c r="AF47" s="15" t="str">
        <f>IF(OR(V47="",Seeds!$C$8=""),"",V47-Seeds!$C$8)</f>
        <v/>
      </c>
      <c r="AG47" s="15" t="str">
        <f>IF(OR(AF47="",Seeds!$C$10=""),"",IF(ABS(AF47)&gt;Seeds!$C$10,"Có","Không"))</f>
        <v/>
      </c>
    </row>
    <row r="48" spans="1:33" ht="15" customHeight="1" x14ac:dyDescent="0.3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4"/>
      <c r="Q48" s="14"/>
      <c r="R48" s="13"/>
      <c r="S48" s="14"/>
      <c r="T48" s="14"/>
      <c r="U48" s="14"/>
      <c r="V48" s="14"/>
      <c r="W48" s="13"/>
      <c r="X48" s="13"/>
      <c r="Y48" s="13"/>
      <c r="Z48" s="14"/>
      <c r="AA48" s="14"/>
      <c r="AB48" s="13"/>
      <c r="AC48" s="13"/>
      <c r="AD48" s="15" t="str">
        <f t="shared" si="2"/>
        <v/>
      </c>
      <c r="AE48" s="15" t="str">
        <f t="shared" si="3"/>
        <v/>
      </c>
      <c r="AF48" s="15" t="str">
        <f>IF(OR(V48="",Seeds!$C$8=""),"",V48-Seeds!$C$8)</f>
        <v/>
      </c>
      <c r="AG48" s="15" t="str">
        <f>IF(OR(AF48="",Seeds!$C$10=""),"",IF(ABS(AF48)&gt;Seeds!$C$10,"Có","Không"))</f>
        <v/>
      </c>
    </row>
    <row r="49" spans="1:33" ht="15" customHeight="1" x14ac:dyDescent="0.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4"/>
      <c r="Q49" s="14"/>
      <c r="R49" s="13"/>
      <c r="S49" s="14"/>
      <c r="T49" s="14"/>
      <c r="U49" s="14"/>
      <c r="V49" s="14"/>
      <c r="W49" s="13"/>
      <c r="X49" s="13"/>
      <c r="Y49" s="13"/>
      <c r="Z49" s="14"/>
      <c r="AA49" s="14"/>
      <c r="AB49" s="13"/>
      <c r="AC49" s="13"/>
      <c r="AD49" s="15" t="str">
        <f t="shared" si="2"/>
        <v/>
      </c>
      <c r="AE49" s="15" t="str">
        <f t="shared" si="3"/>
        <v/>
      </c>
      <c r="AF49" s="15" t="str">
        <f>IF(OR(V49="",Seeds!$C$8=""),"",V49-Seeds!$C$8)</f>
        <v/>
      </c>
      <c r="AG49" s="15" t="str">
        <f>IF(OR(AF49="",Seeds!$C$10=""),"",IF(ABS(AF49)&gt;Seeds!$C$10,"Có","Không"))</f>
        <v/>
      </c>
    </row>
    <row r="50" spans="1:33" ht="15" customHeight="1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4"/>
      <c r="Q50" s="14"/>
      <c r="R50" s="13"/>
      <c r="S50" s="14"/>
      <c r="T50" s="14"/>
      <c r="U50" s="14"/>
      <c r="V50" s="14"/>
      <c r="W50" s="13"/>
      <c r="X50" s="13"/>
      <c r="Y50" s="13"/>
      <c r="Z50" s="14"/>
      <c r="AA50" s="14"/>
      <c r="AB50" s="13"/>
      <c r="AC50" s="13"/>
      <c r="AD50" s="15" t="str">
        <f t="shared" si="2"/>
        <v/>
      </c>
      <c r="AE50" s="15" t="str">
        <f t="shared" si="3"/>
        <v/>
      </c>
      <c r="AF50" s="15" t="str">
        <f>IF(OR(V50="",Seeds!$C$8=""),"",V50-Seeds!$C$8)</f>
        <v/>
      </c>
      <c r="AG50" s="15" t="str">
        <f>IF(OR(AF50="",Seeds!$C$10=""),"",IF(ABS(AF50)&gt;Seeds!$C$10,"Có","Không"))</f>
        <v/>
      </c>
    </row>
    <row r="51" spans="1:33" ht="15" customHeight="1" x14ac:dyDescent="0.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4"/>
      <c r="Q51" s="14"/>
      <c r="R51" s="13"/>
      <c r="S51" s="14"/>
      <c r="T51" s="14"/>
      <c r="U51" s="14"/>
      <c r="V51" s="14"/>
      <c r="W51" s="13"/>
      <c r="X51" s="13"/>
      <c r="Y51" s="13"/>
      <c r="Z51" s="14"/>
      <c r="AA51" s="14"/>
      <c r="AB51" s="13"/>
      <c r="AC51" s="13"/>
      <c r="AD51" s="15" t="str">
        <f t="shared" si="2"/>
        <v/>
      </c>
      <c r="AE51" s="15" t="str">
        <f t="shared" si="3"/>
        <v/>
      </c>
      <c r="AF51" s="15" t="str">
        <f>IF(OR(V51="",Seeds!$C$8=""),"",V51-Seeds!$C$8)</f>
        <v/>
      </c>
      <c r="AG51" s="15" t="str">
        <f>IF(OR(AF51="",Seeds!$C$10=""),"",IF(ABS(AF51)&gt;Seeds!$C$10,"Có","Không"))</f>
        <v/>
      </c>
    </row>
    <row r="52" spans="1:33" ht="15" customHeight="1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4"/>
      <c r="Q52" s="14"/>
      <c r="R52" s="13"/>
      <c r="S52" s="14"/>
      <c r="T52" s="14"/>
      <c r="U52" s="14"/>
      <c r="V52" s="14"/>
      <c r="W52" s="13"/>
      <c r="X52" s="13"/>
      <c r="Y52" s="13"/>
      <c r="Z52" s="14"/>
      <c r="AA52" s="14"/>
      <c r="AB52" s="13"/>
      <c r="AC52" s="13"/>
      <c r="AD52" s="15" t="str">
        <f t="shared" si="2"/>
        <v/>
      </c>
      <c r="AE52" s="15" t="str">
        <f t="shared" si="3"/>
        <v/>
      </c>
      <c r="AF52" s="15" t="str">
        <f>IF(OR(V52="",Seeds!$C$8=""),"",V52-Seeds!$C$8)</f>
        <v/>
      </c>
      <c r="AG52" s="15" t="str">
        <f>IF(OR(AF52="",Seeds!$C$10=""),"",IF(ABS(AF52)&gt;Seeds!$C$10,"Có","Không"))</f>
        <v/>
      </c>
    </row>
    <row r="53" spans="1:33" ht="15" customHeight="1" x14ac:dyDescent="0.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4"/>
      <c r="Q53" s="14"/>
      <c r="R53" s="13"/>
      <c r="S53" s="14"/>
      <c r="T53" s="14"/>
      <c r="U53" s="14"/>
      <c r="V53" s="14"/>
      <c r="W53" s="13"/>
      <c r="X53" s="13"/>
      <c r="Y53" s="13"/>
      <c r="Z53" s="14"/>
      <c r="AA53" s="14"/>
      <c r="AB53" s="13"/>
      <c r="AC53" s="13"/>
      <c r="AD53" s="15" t="str">
        <f t="shared" si="2"/>
        <v/>
      </c>
      <c r="AE53" s="15" t="str">
        <f t="shared" si="3"/>
        <v/>
      </c>
      <c r="AF53" s="15" t="str">
        <f>IF(OR(V53="",Seeds!$C$8=""),"",V53-Seeds!$C$8)</f>
        <v/>
      </c>
      <c r="AG53" s="15" t="str">
        <f>IF(OR(AF53="",Seeds!$C$10=""),"",IF(ABS(AF53)&gt;Seeds!$C$10,"Có","Không"))</f>
        <v/>
      </c>
    </row>
    <row r="54" spans="1:33" ht="15" customHeight="1" x14ac:dyDescent="0.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4"/>
      <c r="Q54" s="14"/>
      <c r="R54" s="13"/>
      <c r="S54" s="14"/>
      <c r="T54" s="14"/>
      <c r="U54" s="14"/>
      <c r="V54" s="14"/>
      <c r="W54" s="13"/>
      <c r="X54" s="13"/>
      <c r="Y54" s="13"/>
      <c r="Z54" s="14"/>
      <c r="AA54" s="14"/>
      <c r="AB54" s="13"/>
      <c r="AC54" s="13"/>
      <c r="AD54" s="15" t="str">
        <f t="shared" si="2"/>
        <v/>
      </c>
      <c r="AE54" s="15" t="str">
        <f t="shared" si="3"/>
        <v/>
      </c>
      <c r="AF54" s="15" t="str">
        <f>IF(OR(V54="",Seeds!$C$8=""),"",V54-Seeds!$C$8)</f>
        <v/>
      </c>
      <c r="AG54" s="15" t="str">
        <f>IF(OR(AF54="",Seeds!$C$10=""),"",IF(ABS(AF54)&gt;Seeds!$C$10,"Có","Không"))</f>
        <v/>
      </c>
    </row>
    <row r="55" spans="1:33" ht="15" customHeight="1" x14ac:dyDescent="0.3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4"/>
      <c r="Q55" s="14"/>
      <c r="R55" s="13"/>
      <c r="S55" s="14"/>
      <c r="T55" s="14"/>
      <c r="U55" s="14"/>
      <c r="V55" s="14"/>
      <c r="W55" s="13"/>
      <c r="X55" s="13"/>
      <c r="Y55" s="13"/>
      <c r="Z55" s="14"/>
      <c r="AA55" s="14"/>
      <c r="AB55" s="13"/>
      <c r="AC55" s="13"/>
      <c r="AD55" s="15" t="str">
        <f t="shared" si="2"/>
        <v/>
      </c>
      <c r="AE55" s="15" t="str">
        <f t="shared" si="3"/>
        <v/>
      </c>
      <c r="AF55" s="15" t="str">
        <f>IF(OR(V55="",Seeds!$C$8=""),"",V55-Seeds!$C$8)</f>
        <v/>
      </c>
      <c r="AG55" s="15" t="str">
        <f>IF(OR(AF55="",Seeds!$C$10=""),"",IF(ABS(AF55)&gt;Seeds!$C$10,"Có","Không"))</f>
        <v/>
      </c>
    </row>
    <row r="56" spans="1:33" ht="15" customHeight="1" x14ac:dyDescent="0.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4"/>
      <c r="Q56" s="14"/>
      <c r="R56" s="13"/>
      <c r="S56" s="14"/>
      <c r="T56" s="14"/>
      <c r="U56" s="14"/>
      <c r="V56" s="14"/>
      <c r="W56" s="13"/>
      <c r="X56" s="13"/>
      <c r="Y56" s="13"/>
      <c r="Z56" s="14"/>
      <c r="AA56" s="14"/>
      <c r="AB56" s="13"/>
      <c r="AC56" s="13"/>
      <c r="AD56" s="15" t="str">
        <f t="shared" si="2"/>
        <v/>
      </c>
      <c r="AE56" s="15" t="str">
        <f t="shared" si="3"/>
        <v/>
      </c>
      <c r="AF56" s="15" t="str">
        <f>IF(OR(V56="",Seeds!$C$8=""),"",V56-Seeds!$C$8)</f>
        <v/>
      </c>
      <c r="AG56" s="15" t="str">
        <f>IF(OR(AF56="",Seeds!$C$10=""),"",IF(ABS(AF56)&gt;Seeds!$C$10,"Có","Không"))</f>
        <v/>
      </c>
    </row>
    <row r="57" spans="1:33" ht="15" customHeight="1" x14ac:dyDescent="0.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4"/>
      <c r="Q57" s="14"/>
      <c r="R57" s="13"/>
      <c r="S57" s="14"/>
      <c r="T57" s="14"/>
      <c r="U57" s="14"/>
      <c r="V57" s="14"/>
      <c r="W57" s="13"/>
      <c r="X57" s="13"/>
      <c r="Y57" s="13"/>
      <c r="Z57" s="14"/>
      <c r="AA57" s="14"/>
      <c r="AB57" s="13"/>
      <c r="AC57" s="13"/>
      <c r="AD57" s="15" t="str">
        <f t="shared" si="2"/>
        <v/>
      </c>
      <c r="AE57" s="15" t="str">
        <f t="shared" si="3"/>
        <v/>
      </c>
      <c r="AF57" s="15" t="str">
        <f>IF(OR(V57="",Seeds!$C$8=""),"",V57-Seeds!$C$8)</f>
        <v/>
      </c>
      <c r="AG57" s="15" t="str">
        <f>IF(OR(AF57="",Seeds!$C$10=""),"",IF(ABS(AF57)&gt;Seeds!$C$10,"Có","Không"))</f>
        <v/>
      </c>
    </row>
    <row r="58" spans="1:33" ht="15" customHeight="1" x14ac:dyDescent="0.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4"/>
      <c r="Q58" s="14"/>
      <c r="R58" s="13"/>
      <c r="S58" s="14"/>
      <c r="T58" s="14"/>
      <c r="U58" s="14"/>
      <c r="V58" s="14"/>
      <c r="W58" s="13"/>
      <c r="X58" s="13"/>
      <c r="Y58" s="13"/>
      <c r="Z58" s="14"/>
      <c r="AA58" s="14"/>
      <c r="AB58" s="13"/>
      <c r="AC58" s="13"/>
      <c r="AD58" s="15" t="str">
        <f t="shared" si="2"/>
        <v/>
      </c>
      <c r="AE58" s="15" t="str">
        <f t="shared" si="3"/>
        <v/>
      </c>
      <c r="AF58" s="15" t="str">
        <f>IF(OR(V58="",Seeds!$C$8=""),"",V58-Seeds!$C$8)</f>
        <v/>
      </c>
      <c r="AG58" s="15" t="str">
        <f>IF(OR(AF58="",Seeds!$C$10=""),"",IF(ABS(AF58)&gt;Seeds!$C$10,"Có","Không"))</f>
        <v/>
      </c>
    </row>
    <row r="59" spans="1:33" ht="15" customHeight="1" x14ac:dyDescent="0.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4"/>
      <c r="Q59" s="14"/>
      <c r="R59" s="13"/>
      <c r="S59" s="14"/>
      <c r="T59" s="14"/>
      <c r="U59" s="14"/>
      <c r="V59" s="14"/>
      <c r="W59" s="13"/>
      <c r="X59" s="13"/>
      <c r="Y59" s="13"/>
      <c r="Z59" s="14"/>
      <c r="AA59" s="14"/>
      <c r="AB59" s="13"/>
      <c r="AC59" s="13"/>
      <c r="AD59" s="15" t="str">
        <f t="shared" si="2"/>
        <v/>
      </c>
      <c r="AE59" s="15" t="str">
        <f t="shared" si="3"/>
        <v/>
      </c>
      <c r="AF59" s="15" t="str">
        <f>IF(OR(V59="",Seeds!$C$8=""),"",V59-Seeds!$C$8)</f>
        <v/>
      </c>
      <c r="AG59" s="15" t="str">
        <f>IF(OR(AF59="",Seeds!$C$10=""),"",IF(ABS(AF59)&gt;Seeds!$C$10,"Có","Không"))</f>
        <v/>
      </c>
    </row>
    <row r="60" spans="1:33" ht="15" customHeight="1" x14ac:dyDescent="0.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4"/>
      <c r="Q60" s="14"/>
      <c r="R60" s="13"/>
      <c r="S60" s="14"/>
      <c r="T60" s="14"/>
      <c r="U60" s="14"/>
      <c r="V60" s="14"/>
      <c r="W60" s="13"/>
      <c r="X60" s="13"/>
      <c r="Y60" s="13"/>
      <c r="Z60" s="14"/>
      <c r="AA60" s="14"/>
      <c r="AB60" s="13"/>
      <c r="AC60" s="13"/>
      <c r="AD60" s="15" t="str">
        <f t="shared" si="2"/>
        <v/>
      </c>
      <c r="AE60" s="15" t="str">
        <f t="shared" si="3"/>
        <v/>
      </c>
      <c r="AF60" s="15" t="str">
        <f>IF(OR(V60="",Seeds!$C$8=""),"",V60-Seeds!$C$8)</f>
        <v/>
      </c>
      <c r="AG60" s="15" t="str">
        <f>IF(OR(AF60="",Seeds!$C$10=""),"",IF(ABS(AF60)&gt;Seeds!$C$10,"Có","Không"))</f>
        <v/>
      </c>
    </row>
    <row r="61" spans="1:33" ht="15" customHeight="1" x14ac:dyDescent="0.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4"/>
      <c r="Q61" s="14"/>
      <c r="R61" s="13"/>
      <c r="S61" s="14"/>
      <c r="T61" s="14"/>
      <c r="U61" s="14"/>
      <c r="V61" s="14"/>
      <c r="W61" s="13"/>
      <c r="X61" s="13"/>
      <c r="Y61" s="13"/>
      <c r="Z61" s="14"/>
      <c r="AA61" s="14"/>
      <c r="AB61" s="13"/>
      <c r="AC61" s="13"/>
      <c r="AD61" s="15" t="str">
        <f t="shared" si="2"/>
        <v/>
      </c>
      <c r="AE61" s="15" t="str">
        <f t="shared" si="3"/>
        <v/>
      </c>
      <c r="AF61" s="15" t="str">
        <f>IF(OR(V61="",Seeds!$C$8=""),"",V61-Seeds!$C$8)</f>
        <v/>
      </c>
      <c r="AG61" s="15" t="str">
        <f>IF(OR(AF61="",Seeds!$C$10=""),"",IF(ABS(AF61)&gt;Seeds!$C$10,"Có","Không"))</f>
        <v/>
      </c>
    </row>
  </sheetData>
  <autoFilter ref="A1:AG61" xr:uid="{00000000-0009-0000-0000-000001000000}"/>
  <dataValidations count="6">
    <dataValidation type="list" allowBlank="1" sqref="B2:B61" xr:uid="{00000000-0002-0000-0100-000000000000}">
      <formula1>"baseline,loss,optimizer,hparam,dropout,clipping,amp,init,final,other"</formula1>
      <formula2>0</formula2>
    </dataValidation>
    <dataValidation type="list" allowBlank="1" sqref="D2:D61" xr:uid="{00000000-0002-0000-0100-000001000000}">
      <formula1>"CE,MSE"</formula1>
      <formula2>0</formula2>
    </dataValidation>
    <dataValidation type="list" allowBlank="1" sqref="E2:E61" xr:uid="{00000000-0002-0000-0100-000002000000}">
      <formula1>"SGD,SGD+momentum,Adam,AdamW"</formula1>
      <formula2>0</formula2>
    </dataValidation>
    <dataValidation type="list" allowBlank="1" sqref="M2:M61" xr:uid="{00000000-0002-0000-0100-000003000000}">
      <formula1>"fp32,fp16,bf16"</formula1>
      <formula2>0</formula2>
    </dataValidation>
    <dataValidation type="list" allowBlank="1" sqref="N2:N61" xr:uid="{00000000-0002-0000-0100-000004000000}">
      <formula1>"zeros,normal,xavier,he,default"</formula1>
      <formula2>0</formula2>
    </dataValidation>
    <dataValidation type="list" allowBlank="1" sqref="Y2:Y61" xr:uid="{00000000-0002-0000-0100-000005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zoomScaleNormal="100" workbookViewId="0"/>
  </sheetViews>
  <sheetFormatPr defaultColWidth="8.6640625" defaultRowHeight="14.4" x14ac:dyDescent="0.3"/>
  <cols>
    <col min="1" max="1" width="26" customWidth="1"/>
    <col min="2" max="4" width="16" customWidth="1"/>
  </cols>
  <sheetData>
    <row r="1" spans="1:4" ht="30" customHeight="1" x14ac:dyDescent="0.3">
      <c r="A1" s="7" t="s">
        <v>205</v>
      </c>
      <c r="B1" s="7" t="s">
        <v>70</v>
      </c>
      <c r="C1" s="7" t="s">
        <v>73</v>
      </c>
      <c r="D1" s="7" t="s">
        <v>61</v>
      </c>
    </row>
    <row r="2" spans="1:4" ht="15" customHeight="1" x14ac:dyDescent="0.3">
      <c r="A2" s="12" t="s">
        <v>130</v>
      </c>
      <c r="B2" s="15">
        <f>IF($A2="","",IFERROR(IF(INDEX(Experiments!$U$2:$U$61,MATCH($A2,Experiments!$A$2:$A$61,0))="","",INDEX(Experiments!$U$2:$U$61,MATCH($A2,Experiments!$A$2:$A$61,0))),""))</f>
        <v>0.90689744196553435</v>
      </c>
      <c r="C2" s="15">
        <f>IF($A2="","",IFERROR(IF(INDEX(Experiments!$V$2:$V$61,MATCH($A2,Experiments!$A$2:$A$61,0))="","",INDEX(Experiments!$V$2:$V$61,MATCH($A2,Experiments!$A$2:$A$61,0))),""))</f>
        <v>0.84098906652952699</v>
      </c>
      <c r="D2" s="15">
        <f>IF($A2="","",IFERROR(IF(INDEX(Experiments!$Q$2:$Q$61,MATCH($A2,Experiments!$A$2:$A$61,0))="","",INDEX(Experiments!$Q$2:$Q$61,MATCH($A2,Experiments!$A$2:$A$61,0))),""))</f>
        <v>0.23315939486516621</v>
      </c>
    </row>
    <row r="3" spans="1:4" ht="15" customHeight="1" x14ac:dyDescent="0.3">
      <c r="A3" s="12" t="s">
        <v>153</v>
      </c>
      <c r="B3" s="15">
        <f>IF($A3="","",IFERROR(IF(INDEX(Experiments!$U$2:$U$61,MATCH($A3,Experiments!$A$2:$A$61,0))="","",INDEX(Experiments!$U$2:$U$61,MATCH($A3,Experiments!$A$2:$A$61,0))),""))</f>
        <v>0.91134011746735222</v>
      </c>
      <c r="C3" s="15">
        <f>IF($A3="","",IFERROR(IF(INDEX(Experiments!$V$2:$V$61,MATCH($A3,Experiments!$A$2:$A$61,0))="","",INDEX(Experiments!$V$2:$V$61,MATCH($A3,Experiments!$A$2:$A$61,0))),""))</f>
        <v>0.86394709518929613</v>
      </c>
      <c r="D3" s="15">
        <f>IF($A3="","",IFERROR(IF(INDEX(Experiments!$Q$2:$Q$61,MATCH($A3,Experiments!$A$2:$A$61,0))="","",INDEX(Experiments!$Q$2:$Q$61,MATCH($A3,Experiments!$A$2:$A$61,0))),""))</f>
        <v>0.22306970027870771</v>
      </c>
    </row>
    <row r="4" spans="1:4" ht="15" customHeight="1" x14ac:dyDescent="0.3">
      <c r="A4" s="12" t="s">
        <v>157</v>
      </c>
      <c r="B4" s="15">
        <f>IF($A4="","",IFERROR(IF(INDEX(Experiments!$U$2:$U$61,MATCH($A4,Experiments!$A$2:$A$61,0))="","",INDEX(Experiments!$U$2:$U$61,MATCH($A4,Experiments!$A$2:$A$61,0))),""))</f>
        <v>0.91087756287515331</v>
      </c>
      <c r="C4" s="15">
        <f>IF($A4="","",IFERROR(IF(INDEX(Experiments!$V$2:$V$61,MATCH($A4,Experiments!$A$2:$A$61,0))="","",INDEX(Experiments!$V$2:$V$61,MATCH($A4,Experiments!$A$2:$A$61,0))),""))</f>
        <v>0.85786080375133911</v>
      </c>
      <c r="D4" s="15">
        <f>IF($A4="","",IFERROR(IF(INDEX(Experiments!$Q$2:$Q$61,MATCH($A4,Experiments!$A$2:$A$61,0))="","",INDEX(Experiments!$Q$2:$Q$61,MATCH($A4,Experiments!$A$2:$A$61,0))),""))</f>
        <v>0.22510028654010061</v>
      </c>
    </row>
    <row r="5" spans="1:4" ht="15" customHeight="1" x14ac:dyDescent="0.3">
      <c r="A5" s="13"/>
      <c r="B5" s="15" t="str">
        <f>IF($A5="","",IFERROR(IF(INDEX(Experiments!$U$2:$U$61,MATCH($A5,Experiments!$A$2:$A$61,0))="","",INDEX(Experiments!$U$2:$U$61,MATCH($A5,Experiments!$A$2:$A$61,0))),""))</f>
        <v/>
      </c>
      <c r="C5" s="15" t="str">
        <f>IF($A5="","",IFERROR(IF(INDEX(Experiments!$V$2:$V$61,MATCH($A5,Experiments!$A$2:$A$61,0))="","",INDEX(Experiments!$V$2:$V$61,MATCH($A5,Experiments!$A$2:$A$61,0))),""))</f>
        <v/>
      </c>
      <c r="D5" s="15" t="str">
        <f>IF($A5="","",IFERROR(IF(INDEX(Experiments!$Q$2:$Q$61,MATCH($A5,Experiments!$A$2:$A$61,0))="","",INDEX(Experiments!$Q$2:$Q$61,MATCH($A5,Experiments!$A$2:$A$61,0))),""))</f>
        <v/>
      </c>
    </row>
    <row r="6" spans="1:4" ht="15" customHeight="1" x14ac:dyDescent="0.3">
      <c r="A6" s="13"/>
      <c r="B6" s="15" t="str">
        <f>IF($A6="","",IFERROR(IF(INDEX(Experiments!$U$2:$U$61,MATCH($A6,Experiments!$A$2:$A$61,0))="","",INDEX(Experiments!$U$2:$U$61,MATCH($A6,Experiments!$A$2:$A$61,0))),""))</f>
        <v/>
      </c>
      <c r="C6" s="15" t="str">
        <f>IF($A6="","",IFERROR(IF(INDEX(Experiments!$V$2:$V$61,MATCH($A6,Experiments!$A$2:$A$61,0))="","",INDEX(Experiments!$V$2:$V$61,MATCH($A6,Experiments!$A$2:$A$61,0))),""))</f>
        <v/>
      </c>
      <c r="D6" s="15" t="str">
        <f>IF($A6="","",IFERROR(IF(INDEX(Experiments!$Q$2:$Q$61,MATCH($A6,Experiments!$A$2:$A$61,0))="","",INDEX(Experiments!$Q$2:$Q$61,MATCH($A6,Experiments!$A$2:$A$61,0))),""))</f>
        <v/>
      </c>
    </row>
    <row r="8" spans="1:4" ht="15" customHeight="1" x14ac:dyDescent="0.3">
      <c r="A8" s="16" t="s">
        <v>206</v>
      </c>
      <c r="B8" s="15">
        <f>IF(COUNT(B2:B6)=0,"",AVERAGE(B2:B6))</f>
        <v>0.90970504076934666</v>
      </c>
      <c r="C8" s="15">
        <f>IF(COUNT(C2:C6)=0,"",AVERAGE(C2:C6))</f>
        <v>0.8542656551567207</v>
      </c>
      <c r="D8" s="15">
        <f>IF(COUNT(D2:D6)=0,"",AVERAGE(D2:D6))</f>
        <v>0.22710979389465816</v>
      </c>
    </row>
    <row r="9" spans="1:4" ht="15" customHeight="1" x14ac:dyDescent="0.3">
      <c r="A9" s="16" t="s">
        <v>207</v>
      </c>
      <c r="B9" s="15">
        <f>IF(COUNT(B2:B6)&lt;2,"",STDEV(B2:B6))</f>
        <v>2.4424265536689494E-3</v>
      </c>
      <c r="C9" s="15">
        <f>IF(COUNT(C2:C6)&lt;2,"",STDEV(C2:C6))</f>
        <v>1.189376265311929E-2</v>
      </c>
      <c r="D9" s="15">
        <f>IF(COUNT(D2:D6)&lt;2,"",STDEV(D2:D6))</f>
        <v>5.3365788730251338E-3</v>
      </c>
    </row>
    <row r="10" spans="1:4" ht="15" customHeight="1" x14ac:dyDescent="0.3">
      <c r="A10" s="16" t="s">
        <v>208</v>
      </c>
      <c r="B10" s="15">
        <f>IF(B9="","",2*B9)</f>
        <v>4.8848531073378988E-3</v>
      </c>
      <c r="C10" s="15">
        <f>IF(C9="","",2*C9)</f>
        <v>2.378752530623858E-2</v>
      </c>
      <c r="D10" s="15">
        <f>IF(D9="","",2*D9)</f>
        <v>1.0673157746050268E-2</v>
      </c>
    </row>
    <row r="12" spans="1:4" ht="15" customHeight="1" x14ac:dyDescent="0.3">
      <c r="A12" s="2" t="s">
        <v>209</v>
      </c>
    </row>
    <row r="13" spans="1:4" ht="15" customHeight="1" x14ac:dyDescent="0.3">
      <c r="A13" s="2" t="s">
        <v>210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zoomScaleNormal="100" workbookViewId="0"/>
  </sheetViews>
  <sheetFormatPr defaultColWidth="8.6640625" defaultRowHeight="14.4" x14ac:dyDescent="0.3"/>
  <cols>
    <col min="1" max="1" width="12" customWidth="1"/>
    <col min="2" max="2" width="10" customWidth="1"/>
    <col min="3" max="5" width="16" customWidth="1"/>
    <col min="6" max="6" width="14" customWidth="1"/>
    <col min="7" max="7" width="16" customWidth="1"/>
    <col min="8" max="8" width="50" customWidth="1"/>
  </cols>
  <sheetData>
    <row r="1" spans="1:8" ht="31.5" customHeight="1" x14ac:dyDescent="0.3">
      <c r="A1" s="7" t="s">
        <v>21</v>
      </c>
      <c r="B1" s="7" t="s">
        <v>211</v>
      </c>
      <c r="C1" s="7" t="s">
        <v>212</v>
      </c>
      <c r="D1" s="7" t="s">
        <v>213</v>
      </c>
      <c r="E1" s="7" t="s">
        <v>214</v>
      </c>
      <c r="F1" s="7" t="s">
        <v>215</v>
      </c>
      <c r="G1" s="7" t="s">
        <v>216</v>
      </c>
      <c r="H1" s="7" t="s">
        <v>217</v>
      </c>
    </row>
    <row r="2" spans="1:8" ht="15" customHeight="1" x14ac:dyDescent="0.3">
      <c r="A2" s="11" t="s">
        <v>131</v>
      </c>
      <c r="B2" s="17">
        <f>COUNTIF(Experiments!$B$2:$B$61,A2)</f>
        <v>5</v>
      </c>
      <c r="C2" s="17">
        <f>COUNTIFS(Experiments!$B$2:$B$61,A2,Experiments!$V$2:$V$61,"&lt;&gt;")</f>
        <v>5</v>
      </c>
      <c r="D2" s="15">
        <f>IF(C2=0,"",_xlfn.MAXIFS(Experiments!$V$2:$V$61,Experiments!$B$2:$B$61,A2))</f>
        <v>0.86394709518929613</v>
      </c>
      <c r="E2" s="15">
        <f>IF(C2=0,"",_xlfn.MINIFS(Experiments!$V$2:$V$61,Experiments!$B$2:$B$61,A2))</f>
        <v>0.76152007244817266</v>
      </c>
      <c r="F2" s="15">
        <f>IF(C2=0,"",_xlfn.MAXIFS(Experiments!$U$2:$U$61,Experiments!$B$2:$B$61,A2))</f>
        <v>0.91134011746735222</v>
      </c>
      <c r="G2" s="17" t="s">
        <v>218</v>
      </c>
      <c r="H2" s="18" t="s">
        <v>219</v>
      </c>
    </row>
    <row r="3" spans="1:8" ht="15" customHeight="1" x14ac:dyDescent="0.3">
      <c r="A3" s="11" t="s">
        <v>27</v>
      </c>
      <c r="B3" s="17">
        <f>COUNTIF(Experiments!$B$2:$B$61,A3)</f>
        <v>1</v>
      </c>
      <c r="C3" s="17">
        <f>COUNTIFS(Experiments!$B$2:$B$61,A3,Experiments!$V$2:$V$61,"&lt;&gt;")</f>
        <v>1</v>
      </c>
      <c r="D3" s="15">
        <f>IF(C3=0,"",_xlfn.MAXIFS(Experiments!$V$2:$V$61,Experiments!$B$2:$B$61,A3))</f>
        <v>0.72593194293694252</v>
      </c>
      <c r="E3" s="15">
        <f>IF(C3=0,"",_xlfn.MINIFS(Experiments!$V$2:$V$61,Experiments!$B$2:$B$61,A3))</f>
        <v>0.72593194293694252</v>
      </c>
      <c r="F3" s="15">
        <f>IF(C3=0,"",_xlfn.MAXIFS(Experiments!$U$2:$U$61,Experiments!$B$2:$B$61,A3))</f>
        <v>0.86989307458961729</v>
      </c>
      <c r="G3" s="17" t="str">
        <f t="shared" ref="G3:G9" si="0">IF(C3&gt;0,"Có","Chưa")</f>
        <v>Có</v>
      </c>
      <c r="H3" s="18" t="s">
        <v>220</v>
      </c>
    </row>
    <row r="4" spans="1:8" ht="15" customHeight="1" x14ac:dyDescent="0.3">
      <c r="A4" s="11" t="s">
        <v>29</v>
      </c>
      <c r="B4" s="17">
        <f>COUNTIF(Experiments!$B$2:$B$61,A4)</f>
        <v>2</v>
      </c>
      <c r="C4" s="17">
        <f>COUNTIFS(Experiments!$B$2:$B$61,A4,Experiments!$V$2:$V$61,"&lt;&gt;")</f>
        <v>2</v>
      </c>
      <c r="D4" s="15">
        <f>IF(C4=0,"",_xlfn.MAXIFS(Experiments!$V$2:$V$61,Experiments!$B$2:$B$61,A4))</f>
        <v>0.84764654110146165</v>
      </c>
      <c r="E4" s="15">
        <f>IF(C4=0,"",_xlfn.MINIFS(Experiments!$V$2:$V$61,Experiments!$B$2:$B$61,A4))</f>
        <v>0.78744464674286352</v>
      </c>
      <c r="F4" s="15">
        <f>IF(C4=0,"",_xlfn.MAXIFS(Experiments!$U$2:$U$61,Experiments!$B$2:$B$61,A4))</f>
        <v>0.9013575439426863</v>
      </c>
      <c r="G4" s="17" t="str">
        <f t="shared" si="0"/>
        <v>Có</v>
      </c>
      <c r="H4" s="18" t="s">
        <v>221</v>
      </c>
    </row>
    <row r="5" spans="1:8" ht="15" customHeight="1" x14ac:dyDescent="0.3">
      <c r="A5" s="11" t="s">
        <v>162</v>
      </c>
      <c r="B5" s="17">
        <f>COUNTIF(Experiments!$B$2:$B$61,A5)</f>
        <v>1</v>
      </c>
      <c r="C5" s="17">
        <f>COUNTIFS(Experiments!$B$2:$B$61,A5,Experiments!$V$2:$V$61,"&lt;&gt;")</f>
        <v>1</v>
      </c>
      <c r="D5" s="15">
        <f>IF(C5=0,"",_xlfn.MAXIFS(Experiments!$V$2:$V$61,Experiments!$B$2:$B$61,A5))</f>
        <v>0.86072003831128086</v>
      </c>
      <c r="E5" s="15">
        <f>IF(C5=0,"",_xlfn.MINIFS(Experiments!$V$2:$V$61,Experiments!$B$2:$B$61,A5))</f>
        <v>0.86072003831128086</v>
      </c>
      <c r="F5" s="15">
        <f>IF(C5=0,"",_xlfn.MAXIFS(Experiments!$U$2:$U$61,Experiments!$B$2:$B$61,A5))</f>
        <v>0.91184570039370927</v>
      </c>
      <c r="G5" s="17" t="str">
        <f t="shared" si="0"/>
        <v>Có</v>
      </c>
      <c r="H5" s="18" t="s">
        <v>222</v>
      </c>
    </row>
    <row r="6" spans="1:8" ht="15" customHeight="1" x14ac:dyDescent="0.3">
      <c r="A6" s="11" t="s">
        <v>46</v>
      </c>
      <c r="B6" s="17">
        <f>COUNTIF(Experiments!$B$2:$B$61,A6)</f>
        <v>1</v>
      </c>
      <c r="C6" s="17">
        <f>COUNTIFS(Experiments!$B$2:$B$61,A6,Experiments!$V$2:$V$61,"&lt;&gt;")</f>
        <v>1</v>
      </c>
      <c r="D6" s="15">
        <f>IF(C6=0,"",_xlfn.MAXIFS(Experiments!$V$2:$V$61,Experiments!$B$2:$B$61,A6))</f>
        <v>0.78527395792220678</v>
      </c>
      <c r="E6" s="15">
        <f>IF(C6=0,"",_xlfn.MINIFS(Experiments!$V$2:$V$61,Experiments!$B$2:$B$61,A6))</f>
        <v>0.78527395792220678</v>
      </c>
      <c r="F6" s="15">
        <f>IF(C6=0,"",_xlfn.MAXIFS(Experiments!$U$2:$U$61,Experiments!$B$2:$B$61,A6))</f>
        <v>0.87154966545470192</v>
      </c>
      <c r="G6" s="17" t="str">
        <f t="shared" si="0"/>
        <v>Có</v>
      </c>
      <c r="H6" s="18" t="s">
        <v>223</v>
      </c>
    </row>
    <row r="7" spans="1:8" ht="15" customHeight="1" x14ac:dyDescent="0.3">
      <c r="A7" s="11" t="s">
        <v>167</v>
      </c>
      <c r="B7" s="17">
        <f>COUNTIF(Experiments!$B$2:$B$61,A7)</f>
        <v>3</v>
      </c>
      <c r="C7" s="17">
        <f>COUNTIFS(Experiments!$B$2:$B$61,A7,Experiments!$V$2:$V$61,"&lt;&gt;")</f>
        <v>3</v>
      </c>
      <c r="D7" s="15">
        <f>IF(C7=0,"",_xlfn.MAXIFS(Experiments!$V$2:$V$61,Experiments!$B$2:$B$61,A7))</f>
        <v>0.84115477818355466</v>
      </c>
      <c r="E7" s="15">
        <f>IF(C7=0,"",_xlfn.MINIFS(Experiments!$V$2:$V$61,Experiments!$B$2:$B$61,A7))</f>
        <v>0.78035808115063821</v>
      </c>
      <c r="F7" s="15">
        <f>IF(C7=0,"",_xlfn.MAXIFS(Experiments!$U$2:$U$61,Experiments!$B$2:$B$61,A7))</f>
        <v>0.9010886168541985</v>
      </c>
      <c r="G7" s="17" t="str">
        <f t="shared" si="0"/>
        <v>Có</v>
      </c>
      <c r="H7" s="18" t="s">
        <v>224</v>
      </c>
    </row>
    <row r="8" spans="1:8" ht="15" customHeight="1" x14ac:dyDescent="0.3">
      <c r="A8" s="11" t="s">
        <v>142</v>
      </c>
      <c r="B8" s="17">
        <f>COUNTIF(Experiments!$B$2:$B$61,A8)</f>
        <v>1</v>
      </c>
      <c r="C8" s="17">
        <f>COUNTIFS(Experiments!$B$2:$B$61,A8,Experiments!$V$2:$V$61,"&lt;&gt;")</f>
        <v>1</v>
      </c>
      <c r="D8" s="15">
        <f>IF(C8=0,"",_xlfn.MAXIFS(Experiments!$V$2:$V$61,Experiments!$B$2:$B$61,A8))</f>
        <v>0.84572952262907564</v>
      </c>
      <c r="E8" s="15">
        <f>IF(C8=0,"",_xlfn.MINIFS(Experiments!$V$2:$V$61,Experiments!$B$2:$B$61,A8))</f>
        <v>0.84572952262907564</v>
      </c>
      <c r="F8" s="15">
        <f>IF(C8=0,"",_xlfn.MAXIFS(Experiments!$U$2:$U$61,Experiments!$B$2:$B$61,A8))</f>
        <v>0.90572491985972758</v>
      </c>
      <c r="G8" s="17" t="str">
        <f t="shared" si="0"/>
        <v>Có</v>
      </c>
      <c r="H8" s="18" t="s">
        <v>225</v>
      </c>
    </row>
    <row r="9" spans="1:8" ht="15" customHeight="1" x14ac:dyDescent="0.3">
      <c r="A9" s="11" t="s">
        <v>53</v>
      </c>
      <c r="B9" s="17">
        <f>COUNTIF(Experiments!$B$2:$B$61,A9)</f>
        <v>2</v>
      </c>
      <c r="C9" s="17">
        <f>COUNTIFS(Experiments!$B$2:$B$61,A9,Experiments!$V$2:$V$61,"&lt;&gt;")</f>
        <v>2</v>
      </c>
      <c r="D9" s="15">
        <f>IF(C9=0,"",_xlfn.MAXIFS(Experiments!$V$2:$V$61,Experiments!$B$2:$B$61,A9))</f>
        <v>0.83737855407088368</v>
      </c>
      <c r="E9" s="15">
        <f>IF(C9=0,"",_xlfn.MINIFS(Experiments!$V$2:$V$61,Experiments!$B$2:$B$61,A9))</f>
        <v>9.3649990186254556E-2</v>
      </c>
      <c r="F9" s="15">
        <f>IF(C9=0,"",_xlfn.MAXIFS(Experiments!$U$2:$U$61,Experiments!$B$2:$B$61,A9))</f>
        <v>0.90253006604849295</v>
      </c>
      <c r="G9" s="17" t="str">
        <f t="shared" si="0"/>
        <v>Có</v>
      </c>
      <c r="H9" s="18" t="s">
        <v>226</v>
      </c>
    </row>
    <row r="10" spans="1:8" ht="15" customHeight="1" x14ac:dyDescent="0.3">
      <c r="A10" s="11" t="s">
        <v>227</v>
      </c>
      <c r="B10" s="17">
        <f>COUNTIF(Experiments!$B$2:$B$61,A10)</f>
        <v>0</v>
      </c>
      <c r="C10" s="17">
        <f>COUNTIFS(Experiments!$B$2:$B$61,A10,Experiments!$V$2:$V$61,"&lt;&gt;")</f>
        <v>0</v>
      </c>
      <c r="D10" s="15" t="str">
        <f>IF(C10=0,"",_xlfn.MAXIFS(Experiments!$V$2:$V$61,Experiments!$B$2:$B$61,A10))</f>
        <v/>
      </c>
      <c r="E10" s="15" t="str">
        <f>IF(C10=0,"",_xlfn.MINIFS(Experiments!$V$2:$V$61,Experiments!$B$2:$B$61,A10))</f>
        <v/>
      </c>
      <c r="F10" s="15" t="str">
        <f>IF(C10=0,"",_xlfn.MAXIFS(Experiments!$U$2:$U$61,Experiments!$B$2:$B$61,A10))</f>
        <v/>
      </c>
      <c r="G10" s="17" t="s">
        <v>218</v>
      </c>
      <c r="H10" s="18"/>
    </row>
    <row r="11" spans="1:8" ht="15" customHeight="1" x14ac:dyDescent="0.3">
      <c r="A11" s="11" t="s">
        <v>228</v>
      </c>
      <c r="B11" s="17">
        <f>COUNTIF(Experiments!$B$2:$B$61,A11)</f>
        <v>0</v>
      </c>
      <c r="C11" s="17">
        <f>COUNTIFS(Experiments!$B$2:$B$61,A11,Experiments!$V$2:$V$61,"&lt;&gt;")</f>
        <v>0</v>
      </c>
      <c r="D11" s="15" t="str">
        <f>IF(C11=0,"",_xlfn.MAXIFS(Experiments!$V$2:$V$61,Experiments!$B$2:$B$61,A11))</f>
        <v/>
      </c>
      <c r="E11" s="15" t="str">
        <f>IF(C11=0,"",_xlfn.MINIFS(Experiments!$V$2:$V$61,Experiments!$B$2:$B$61,A11))</f>
        <v/>
      </c>
      <c r="F11" s="15" t="str">
        <f>IF(C11=0,"",_xlfn.MAXIFS(Experiments!$U$2:$U$61,Experiments!$B$2:$B$61,A11))</f>
        <v/>
      </c>
      <c r="G11" s="17" t="s">
        <v>218</v>
      </c>
      <c r="H11" s="18"/>
    </row>
    <row r="13" spans="1:8" ht="15" customHeight="1" x14ac:dyDescent="0.3">
      <c r="A13" s="3" t="s">
        <v>229</v>
      </c>
      <c r="D13" s="3">
        <f>COUNTIF(G2:G11,"Có")</f>
        <v>7</v>
      </c>
    </row>
    <row r="14" spans="1:8" ht="15" customHeight="1" x14ac:dyDescent="0.3">
      <c r="A14" s="2" t="s">
        <v>230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Legend</vt:lpstr>
      <vt:lpstr>Experiments</vt:lpstr>
      <vt:lpstr>Seeds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Vinhh Bui</cp:lastModifiedBy>
  <cp:revision>0</cp:revision>
  <dcterms:created xsi:type="dcterms:W3CDTF">2026-10-02T03:40:32Z</dcterms:created>
  <dcterms:modified xsi:type="dcterms:W3CDTF">2026-10-03T10:15:07Z</dcterms:modified>
  <dc:language>en-US</dc:language>
</cp:coreProperties>
</file>